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xr:revisionPtr revIDLastSave="0" documentId="8_{6D9D3A0B-BCFC-4E31-8F04-AFAAC96A2EF5}" xr6:coauthVersionLast="47" xr6:coauthVersionMax="47" xr10:uidLastSave="{00000000-0000-0000-0000-000000000000}"/>
  <bookViews>
    <workbookView xWindow="28680" yWindow="-120" windowWidth="38640" windowHeight="15720" firstSheet="1" activeTab="1" xr2:uid="{00000000-000D-0000-FFFF-FFFF00000000}"/>
  </bookViews>
  <sheets>
    <sheet name="Timeline" sheetId="2" state="hidden" r:id="rId1"/>
    <sheet name="Project Plan" sheetId="9" r:id="rId2"/>
    <sheet name="Project TL" sheetId="10" r:id="rId3"/>
    <sheet name="Detailed Timeline" sheetId="7" r:id="rId4"/>
    <sheet name="Sheet5" sheetId="8" r:id="rId5"/>
    <sheet name="Sheet1" sheetId="4" r:id="rId6"/>
    <sheet name="About" sheetId="3" state="hidden" r:id="rId7"/>
  </sheets>
  <definedNames>
    <definedName name="_xlnm.Print_Area" localSheetId="0">Timeline!$A:$H</definedName>
    <definedName name="_xlnm.Print_Titles" localSheetId="0">Timeline!$58:$58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5" i="10" l="1"/>
  <c r="B3" i="10"/>
  <c r="AL24" i="10"/>
  <c r="AR18" i="10"/>
  <c r="AT17" i="10"/>
  <c r="AK23" i="10" s="1"/>
  <c r="AR17" i="10"/>
  <c r="AT16" i="10"/>
  <c r="AR16" i="10"/>
  <c r="AR15" i="10"/>
  <c r="AT14" i="10"/>
  <c r="AR14" i="10"/>
  <c r="AT13" i="10"/>
  <c r="AR13" i="10"/>
  <c r="AR12" i="10"/>
  <c r="AR11" i="10"/>
  <c r="AR10" i="10"/>
  <c r="AR9" i="10"/>
  <c r="AR8" i="10"/>
  <c r="AR7" i="10"/>
  <c r="AR6" i="10"/>
  <c r="AR4" i="10"/>
  <c r="AT17" i="7"/>
  <c r="AR17" i="7"/>
  <c r="AT16" i="7"/>
  <c r="AR16" i="7"/>
  <c r="AT15" i="7"/>
  <c r="AR15" i="7"/>
  <c r="AR14" i="7"/>
  <c r="AT13" i="7"/>
  <c r="AR13" i="7"/>
  <c r="AT12" i="7"/>
  <c r="AR12" i="7"/>
  <c r="AT11" i="7"/>
  <c r="AR11" i="7"/>
  <c r="AT10" i="7"/>
  <c r="AR10" i="7"/>
  <c r="AT9" i="7"/>
  <c r="AR9" i="7"/>
  <c r="AT8" i="7"/>
  <c r="AR8" i="7"/>
  <c r="AT7" i="7"/>
  <c r="AR7" i="7"/>
  <c r="AT6" i="7"/>
  <c r="AR6" i="7"/>
  <c r="AT5" i="7"/>
  <c r="AR5" i="7"/>
  <c r="AT4" i="7"/>
  <c r="AR4" i="7"/>
  <c r="E41" i="2"/>
  <c r="E44" i="2"/>
  <c r="E49" i="2"/>
  <c r="E51" i="2"/>
  <c r="E52" i="2"/>
  <c r="E53" i="2"/>
  <c r="E50" i="2"/>
  <c r="E48" i="2"/>
  <c r="E47" i="2"/>
  <c r="E46" i="2"/>
  <c r="E45" i="2"/>
  <c r="E43" i="2"/>
  <c r="E42" i="2"/>
  <c r="E40" i="2"/>
  <c r="E39" i="2"/>
  <c r="G40" i="2"/>
  <c r="G41" i="2"/>
  <c r="G42" i="2"/>
  <c r="G43" i="2"/>
  <c r="G44" i="2"/>
  <c r="G45" i="2"/>
  <c r="G46" i="2"/>
  <c r="G47" i="2"/>
  <c r="G49" i="2"/>
  <c r="G50" i="2"/>
  <c r="G51" i="2"/>
  <c r="G52" i="2"/>
  <c r="G53" i="2"/>
  <c r="F14" i="4"/>
  <c r="B14" i="4"/>
  <c r="D14" i="4" s="1"/>
  <c r="F13" i="4"/>
  <c r="B13" i="4"/>
  <c r="D13" i="4" s="1"/>
  <c r="F12" i="4"/>
  <c r="D12" i="4"/>
  <c r="B12" i="4"/>
  <c r="F11" i="4"/>
  <c r="B11" i="4"/>
  <c r="D11" i="4" s="1"/>
  <c r="B10" i="4"/>
  <c r="D10" i="4" s="1"/>
  <c r="F9" i="4"/>
  <c r="E9" i="4"/>
  <c r="F10" i="4" s="1"/>
  <c r="B9" i="4"/>
  <c r="D9" i="4" s="1"/>
  <c r="F8" i="4"/>
  <c r="B8" i="4"/>
  <c r="D8" i="4" s="1"/>
  <c r="F7" i="4"/>
  <c r="D7" i="4"/>
  <c r="B7" i="4"/>
  <c r="F6" i="4"/>
  <c r="B6" i="4"/>
  <c r="D6" i="4" s="1"/>
  <c r="F5" i="4"/>
  <c r="B5" i="4"/>
  <c r="D5" i="4" s="1"/>
  <c r="F4" i="4"/>
  <c r="D4" i="4"/>
  <c r="B4" i="4"/>
  <c r="F3" i="4"/>
  <c r="D3" i="4"/>
  <c r="B3" i="4"/>
  <c r="F2" i="4"/>
  <c r="B2" i="4"/>
  <c r="D2" i="4" s="1"/>
  <c r="F1" i="4"/>
  <c r="B1" i="4"/>
  <c r="D1" i="4" s="1"/>
  <c r="C52" i="2"/>
  <c r="C53" i="2"/>
  <c r="C39" i="2"/>
  <c r="C42" i="2"/>
  <c r="C43" i="2"/>
  <c r="C45" i="2"/>
  <c r="E60" i="2"/>
  <c r="F48" i="2" l="1"/>
  <c r="G48" i="2" s="1"/>
  <c r="C44" i="2"/>
  <c r="C46" i="2"/>
  <c r="C40" i="2"/>
  <c r="C47" i="2" l="1"/>
  <c r="C41" i="2"/>
  <c r="C48" i="2" l="1"/>
  <c r="C49" i="2" l="1"/>
  <c r="C50" i="2" l="1"/>
  <c r="C51" i="2" l="1"/>
</calcChain>
</file>

<file path=xl/sharedStrings.xml><?xml version="1.0" encoding="utf-8"?>
<sst xmlns="http://schemas.openxmlformats.org/spreadsheetml/2006/main" count="451" uniqueCount="304">
  <si>
    <t>Date</t>
  </si>
  <si>
    <t>Position</t>
  </si>
  <si>
    <t>Label</t>
  </si>
  <si>
    <t>Insert new rows above this one</t>
  </si>
  <si>
    <t>Duration</t>
  </si>
  <si>
    <t>End</t>
  </si>
  <si>
    <t>Milestones</t>
  </si>
  <si>
    <t>Tasks</t>
  </si>
  <si>
    <t>Start</t>
  </si>
  <si>
    <t>Vert. Position</t>
  </si>
  <si>
    <t>Vert. Line</t>
  </si>
  <si>
    <t>About This Template</t>
  </si>
  <si>
    <t>More Timeline Templates</t>
  </si>
  <si>
    <t>About Vertex42</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</si>
  <si>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</si>
  <si>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Vertex42.com provides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</si>
  <si>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PROJECT TIMELINE by Vertex42.com</t>
  </si>
  <si>
    <t>More Templates</t>
  </si>
  <si>
    <t>More Project Management Templates</t>
  </si>
  <si>
    <t>Visit Vertex42.com to download other timeline and project management templates.</t>
  </si>
  <si>
    <t>https://www.vertex42.com/ExcelTemplates/project-timeline.html</t>
  </si>
  <si>
    <t>TIMELINE TEMPLATES by Vertex42.com</t>
  </si>
  <si>
    <t>https://www.vertex42.com/ExcelTemplates/timeline.html</t>
  </si>
  <si>
    <t>•  Enter a vertical position between -100 and 50</t>
  </si>
  <si>
    <t>•  Milestone leader lines are Y Error bars</t>
  </si>
  <si>
    <t>•  Task leader lines are Y Error bars</t>
  </si>
  <si>
    <t>Tips for Using this Template</t>
  </si>
  <si>
    <t>•  Format the horizontal axis to set min/max bounds</t>
  </si>
  <si>
    <t>•  Insert and delete entire rows when editing the data tables</t>
  </si>
  <si>
    <t>•  Avoid leaving the label column blank</t>
  </si>
  <si>
    <t>Other Notes</t>
  </si>
  <si>
    <t>•  Task durations are X Error bars</t>
  </si>
  <si>
    <t>•  Format individual data labels or markers to highlight specific events</t>
  </si>
  <si>
    <t>This template uses a scatter chart with data labels and error bars to create a project timeline that shows both milestones and tasks with durations. Unlike a Gantt chart, which shows each task on a separate row, you control the vertical positioning of tasks within the timeline. You can specify the length of the vertical leader line to help show task dependencies.</t>
  </si>
  <si>
    <t>This type of project timeline is mainly useful for a general overview of a project rather than showing a detailed work breakdown structure.</t>
  </si>
  <si>
    <t>Planning</t>
  </si>
  <si>
    <t>Jan</t>
  </si>
  <si>
    <t>Feb</t>
  </si>
  <si>
    <t>Mar</t>
  </si>
  <si>
    <t>Apr</t>
  </si>
  <si>
    <t>May</t>
  </si>
  <si>
    <t>Jun</t>
  </si>
  <si>
    <t>Jul</t>
  </si>
  <si>
    <t>Aug</t>
  </si>
  <si>
    <t>Sep</t>
  </si>
  <si>
    <t>Oct</t>
  </si>
  <si>
    <t>Nov</t>
  </si>
  <si>
    <t>Dec</t>
  </si>
  <si>
    <t>Onboard Resources</t>
  </si>
  <si>
    <t>Assessment</t>
  </si>
  <si>
    <t>Program Kick-Off</t>
  </si>
  <si>
    <t>Discovery</t>
  </si>
  <si>
    <t>April #1</t>
  </si>
  <si>
    <t>July #2</t>
  </si>
  <si>
    <t>Oct #3</t>
  </si>
  <si>
    <t>Go-Live</t>
  </si>
  <si>
    <t>EUAT</t>
  </si>
  <si>
    <t>Integrated Testing</t>
  </si>
  <si>
    <t>Design &amp; Build</t>
  </si>
  <si>
    <t>Hardware</t>
  </si>
  <si>
    <t>Training</t>
  </si>
  <si>
    <t>Cutover</t>
  </si>
  <si>
    <t>Support</t>
  </si>
  <si>
    <t>Project Management</t>
  </si>
  <si>
    <t>Ops</t>
  </si>
  <si>
    <t>IT</t>
  </si>
  <si>
    <t>Task</t>
  </si>
  <si>
    <t>GOLIVE</t>
  </si>
  <si>
    <t>add TDR</t>
  </si>
  <si>
    <t>TDR</t>
  </si>
  <si>
    <t>Post Implementation</t>
  </si>
  <si>
    <t>Testing</t>
  </si>
  <si>
    <t>Harware</t>
  </si>
  <si>
    <t>Technology Review</t>
  </si>
  <si>
    <t xml:space="preserve">Task ID </t>
  </si>
  <si>
    <t>Task Name</t>
  </si>
  <si>
    <t>Notes:</t>
  </si>
  <si>
    <t>Owner</t>
  </si>
  <si>
    <t>Number of Days to complete</t>
  </si>
  <si>
    <t>Start Date (prior to golive)</t>
  </si>
  <si>
    <t>Finish(prior to golive)</t>
  </si>
  <si>
    <t>% Work Completed</t>
  </si>
  <si>
    <t>Tools</t>
  </si>
  <si>
    <t>Status</t>
  </si>
  <si>
    <t>120 Days</t>
  </si>
  <si>
    <t>14 Days</t>
  </si>
  <si>
    <t>1 Day</t>
  </si>
  <si>
    <t>PLANNING</t>
  </si>
  <si>
    <t>Project Kick-off Meeting</t>
  </si>
  <si>
    <t>PM</t>
  </si>
  <si>
    <t>Create Project Plan for client meetings</t>
  </si>
  <si>
    <t>5 Days</t>
  </si>
  <si>
    <t>Create Teams Folder Template</t>
  </si>
  <si>
    <t>See Team tab</t>
  </si>
  <si>
    <t>DISCOVERY</t>
  </si>
  <si>
    <t>Client Projections</t>
  </si>
  <si>
    <t>Use Staffing Prep Worksheet- send prior to walk through to client if possible.  Otherwise complete it while on site</t>
  </si>
  <si>
    <t>90 Days</t>
  </si>
  <si>
    <t>Create and send the Nicergroup Staffing Assessment</t>
  </si>
  <si>
    <t>Nicergroup Staffing Assessment</t>
  </si>
  <si>
    <t>Schedule walk-through</t>
  </si>
  <si>
    <t>decide who should be attending this walk-through</t>
  </si>
  <si>
    <t>PM/Client</t>
  </si>
  <si>
    <t>Attend the walk-through</t>
  </si>
  <si>
    <t xml:space="preserve">Review and discuss Nicergroup Staffing Assessment </t>
  </si>
  <si>
    <t>This may be an ongoing process until you are able to get each department, application, and headcount established</t>
  </si>
  <si>
    <t>Complete the Nicergroup Needs Assessment</t>
  </si>
  <si>
    <t>Combine data from staffing assessment into Needs Assessment- this breaks out each module used for the go-live</t>
  </si>
  <si>
    <t>Nicergroup Needs Assessment</t>
  </si>
  <si>
    <t>Schedule Assessment meeting</t>
  </si>
  <si>
    <t>review the numbers and get approval from the client.  This process can be reviewed through the life cycle up until day of go-live</t>
  </si>
  <si>
    <t>Send approved project scope to Sales for SOW</t>
  </si>
  <si>
    <t>this would be if we don't do a walk-through and client is telling us what their needs are.</t>
  </si>
  <si>
    <t>Create and complete  template for resources needed</t>
  </si>
  <si>
    <t xml:space="preserve"> once SOW signed (subject to change)
this contains the "ASK" (skill matrix)</t>
  </si>
  <si>
    <t>Skillmarket Release</t>
  </si>
  <si>
    <t>PREPARATION WORK</t>
  </si>
  <si>
    <t>Schedule creation</t>
  </si>
  <si>
    <t xml:space="preserve">Dependent on Staffing Assement approval
Work with Client to obtain any outstanding location hours
</t>
  </si>
  <si>
    <t>2 Days</t>
  </si>
  <si>
    <t>Export scheduling template</t>
  </si>
  <si>
    <t>Use Connecteam schedule export
Add users, job type, location etc</t>
  </si>
  <si>
    <t>Connecteam</t>
  </si>
  <si>
    <t>Candidate Notification</t>
  </si>
  <si>
    <t>Create Candidate template</t>
  </si>
  <si>
    <t>Assign Candidates</t>
  </si>
  <si>
    <t>Assign candidates to a specific module, this should correlate with the staffing assessement "ask".  
Select staff to meet client need. Add backups (20%). Deliniate for onboarding who is active roster vs. backups</t>
  </si>
  <si>
    <t>Submit Candidates to onboarding team</t>
  </si>
  <si>
    <t xml:space="preserve">send the template to onboarding
</t>
  </si>
  <si>
    <t>Onboarding of Resources</t>
  </si>
  <si>
    <t xml:space="preserve">
</t>
  </si>
  <si>
    <t>Onboarding</t>
  </si>
  <si>
    <t>Receives  ATE candidates from PM</t>
  </si>
  <si>
    <t>Verifies compliance with client</t>
  </si>
  <si>
    <t>onboarding confirms that we have the client compliance (ideally this is done before offers go out, because if not- it’s blank for the ATE and causes confusion)</t>
  </si>
  <si>
    <t>Sends out offer letters</t>
  </si>
  <si>
    <t>Offers are sent to those on the roster</t>
  </si>
  <si>
    <t>Tracks Roster status and Compliance</t>
  </si>
  <si>
    <t>After three days all non responsive candidates are dropped</t>
  </si>
  <si>
    <t>Candidate Acceptance</t>
  </si>
  <si>
    <t xml:space="preserve"> Onboarding initiates Compliance by communicating requirements to ATE</t>
  </si>
  <si>
    <t>Candidate</t>
  </si>
  <si>
    <t>Candidate Monitoring</t>
  </si>
  <si>
    <t>PM and Onboarding</t>
  </si>
  <si>
    <t>Internal Processes</t>
  </si>
  <si>
    <t>ALL Nicergroup Teams</t>
  </si>
  <si>
    <t>60 Days</t>
  </si>
  <si>
    <t>Review signed SOW</t>
  </si>
  <si>
    <t>Upon receiving the fully executed SOW,  confirms that the dates have not changed from the original release and what is in the SOW</t>
  </si>
  <si>
    <t>ALL</t>
  </si>
  <si>
    <t>SOW</t>
  </si>
  <si>
    <t>Setup Project  Email (alias email)</t>
  </si>
  <si>
    <t>PM requests from IT: Need e-mail project aliases for Logistics (Deconess Logistics)
ATE will use these to notify apppropriate owners of issues</t>
  </si>
  <si>
    <t>Email</t>
  </si>
  <si>
    <t>Set up meeting with Logistics</t>
  </si>
  <si>
    <t>Begin discussion with logistics to identify airport to use, hotels, ground transportation strategy (cars, shuttles)</t>
  </si>
  <si>
    <t>PM/Logistics</t>
  </si>
  <si>
    <t xml:space="preserve">Send site summary to logistics for hotel and logistics planning. </t>
  </si>
  <si>
    <t>Should also include the strategy and needs for an onsite orientaiton if it applies.</t>
  </si>
  <si>
    <t xml:space="preserve">  Create site map</t>
  </si>
  <si>
    <t>google maps- showing hotels and locations of sites</t>
  </si>
  <si>
    <t>Logistics</t>
  </si>
  <si>
    <t>Google Maps</t>
  </si>
  <si>
    <t>Solidify Ground transportation strategy</t>
  </si>
  <si>
    <t>Transportation from airport
Solidify cars/shuttle contracts</t>
  </si>
  <si>
    <t>Solidify Transportation Contracts</t>
  </si>
  <si>
    <t>Solidify Hotel Contracts</t>
  </si>
  <si>
    <t>"This will be dependent on support numbers required and support locations (if multiple and/or widespread)
Consideration of carpools/shuttles"</t>
  </si>
  <si>
    <t>Confirm Orientation Location/Dates</t>
  </si>
  <si>
    <t>this is discussed during client planning sessions.  Nicergroup hosting a location or client hosting a location.  Plan for large groups</t>
  </si>
  <si>
    <t>Onboarding sends ATE info on Concur and ADP</t>
  </si>
  <si>
    <t>Onboarding is responsible for informing the ATE on the use of ADP and Concur once ATE is Compliant and ready for travel</t>
  </si>
  <si>
    <t>Send Book your Flight</t>
  </si>
  <si>
    <t>Timing for this varies, but want this to occur in a timely manner relative to Go Live to minimize cost</t>
  </si>
  <si>
    <t>Orientation Preparation</t>
  </si>
  <si>
    <t>4 days</t>
  </si>
  <si>
    <t>Update slide deck</t>
  </si>
  <si>
    <t>Add Orientation information. Update 3 Slide onsite leadership</t>
  </si>
  <si>
    <t>Nicergroup Project Orientation ppt</t>
  </si>
  <si>
    <t>Create /Send orientation invites from the client</t>
  </si>
  <si>
    <t>Client responsible for sending out Invites to their staff if it is their Invite</t>
  </si>
  <si>
    <t>Client/PM</t>
  </si>
  <si>
    <t>Orientation Invites to ATEs</t>
  </si>
  <si>
    <t>Nicergroup will then forward this invite to ATE if virtual</t>
  </si>
  <si>
    <t>Connecteam Setup</t>
  </si>
  <si>
    <t>Scheduling Manager</t>
  </si>
  <si>
    <t>Set up meeting with PM for  Connecteam</t>
  </si>
  <si>
    <t>Review project dynamics/set up Connecteam</t>
  </si>
  <si>
    <t>PM/Scheduling Manager</t>
  </si>
  <si>
    <t xml:space="preserve">Create Project  </t>
  </si>
  <si>
    <t>see Connecteam tab</t>
  </si>
  <si>
    <t>Project Set Up</t>
  </si>
  <si>
    <t xml:space="preserve">see Connecteam tab
</t>
  </si>
  <si>
    <t>Set up Nicergroup Documents</t>
  </si>
  <si>
    <t>Set up Forms</t>
  </si>
  <si>
    <t>Set up Chat</t>
  </si>
  <si>
    <t xml:space="preserve">Send ATE Welcome </t>
  </si>
  <si>
    <t>email/slidedeck/connecteam slidedeck</t>
  </si>
  <si>
    <t>Import Users</t>
  </si>
  <si>
    <t>4 Days</t>
  </si>
  <si>
    <t>3 Days</t>
  </si>
  <si>
    <t>Logistics email sent</t>
  </si>
  <si>
    <t xml:space="preserve">This will include information about shuttles to hotel, shuttles to Orientation, hotel that they are assigned to </t>
  </si>
  <si>
    <t>APM Email (Onsite Leadership)</t>
  </si>
  <si>
    <t xml:space="preserve">PM creates the template for the APM. This must be sent from the Nicergroup email of the APM. </t>
  </si>
  <si>
    <t>APM</t>
  </si>
  <si>
    <t>Start Badge process</t>
  </si>
  <si>
    <t>ATE sending in photo to create badge
see badge process</t>
  </si>
  <si>
    <t>Scheduleing  Manager/Jill</t>
  </si>
  <si>
    <t>Ship Laptops/Badges/Vest</t>
  </si>
  <si>
    <t>Onsite Leadership (APM/ZL/POC) will use</t>
  </si>
  <si>
    <t>PM/IT</t>
  </si>
  <si>
    <t>EXECUTION</t>
  </si>
  <si>
    <t>Travel Day</t>
  </si>
  <si>
    <t>PM/APM/Logistics</t>
  </si>
  <si>
    <t>NA</t>
  </si>
  <si>
    <t>Monitor Candiates arriving</t>
  </si>
  <si>
    <t>Onsite Arrival</t>
  </si>
  <si>
    <t>PM/Team members</t>
  </si>
  <si>
    <t>Client Meet and Greet</t>
  </si>
  <si>
    <t>PM/APM/ZL and others as needed to meet with client and staff managers to review the lay of the land</t>
  </si>
  <si>
    <t>Hotel Check-in</t>
  </si>
  <si>
    <t>Meet and Greet your Onsite Leadership team</t>
  </si>
  <si>
    <t>Orientation Check-In</t>
  </si>
  <si>
    <t>Day of Orientation</t>
  </si>
  <si>
    <t>Onsite Orientation Presentation</t>
  </si>
  <si>
    <t xml:space="preserve">PM presents Nicergroup information
Provide Nicergroup standard content. Client will provide interal content and staffing for the breakout sessions. </t>
  </si>
  <si>
    <t>Virtual Orientation Presentation</t>
  </si>
  <si>
    <t>PM presents Nicergroup information</t>
  </si>
  <si>
    <t>Airtable Backup removal</t>
  </si>
  <si>
    <t>3 Days After Go-Live</t>
  </si>
  <si>
    <t>During the Go-Live</t>
  </si>
  <si>
    <t>Attendance Form (arrival &amp; departure forms)</t>
  </si>
  <si>
    <t>Daily and reviewed by APM and Zone Leads</t>
  </si>
  <si>
    <t>Cutover team supports the golive Effort</t>
  </si>
  <si>
    <t xml:space="preserve">We usually go in one hour before cutover to assist with downtime prep. When the sytem comes up our team is in place to begin support. </t>
  </si>
  <si>
    <t>ATE/ PM/APM</t>
  </si>
  <si>
    <t>PM is present at Cutover for oversight</t>
  </si>
  <si>
    <t xml:space="preserve">We are present virtually or onsite to insure all staff are accounted for, Shuttles schedules are being executed properly, team has full coverage. </t>
  </si>
  <si>
    <t>PM/ Onsite Leaders</t>
  </si>
  <si>
    <t>Connecteam: During Go Live</t>
  </si>
  <si>
    <t>OnSite Reporting</t>
  </si>
  <si>
    <t>End of Day Report</t>
  </si>
  <si>
    <t>Nicergroup leaders collect this data through forms. The data is agregated to provide project adoption insight to the client leadership and make decision on staffing  model updates and taper consideration</t>
  </si>
  <si>
    <t>PM/Onsite Leadership</t>
  </si>
  <si>
    <t>Chart end of day report</t>
  </si>
  <si>
    <t>Prepare to share with the client.</t>
  </si>
  <si>
    <t>Managers reports</t>
  </si>
  <si>
    <t xml:space="preserve">Help to gauge staff adoption. These metrics are used to gauge adoption from the client view. This is very helpful for taper discussions. </t>
  </si>
  <si>
    <t>Time Sheets/Burn Report</t>
  </si>
  <si>
    <t>Need to work with Misty to review time sheets</t>
  </si>
  <si>
    <t>Scheduling Manager/PM/APM / Payroll</t>
  </si>
  <si>
    <t>Send Client Burn Report</t>
  </si>
  <si>
    <t>send out 3 days after the 1st week</t>
  </si>
  <si>
    <t>Set Taper Dicussion Meeting with client</t>
  </si>
  <si>
    <t>Make sure client gets the appropriate Stakeholders</t>
  </si>
  <si>
    <t>Client Budget reductions</t>
  </si>
  <si>
    <t>Staff tapers according to original plan- this can and should be adapted to project and success.</t>
  </si>
  <si>
    <t>Execute first taper</t>
  </si>
  <si>
    <t xml:space="preserve">Based on a collaborative effort with the client a taper model is agreed upon. Using Airtable to faciliate the taper the PM will select the team member to be tapered. Emails go out to the affected staff. Logistics determines airport transportation methods and communicates that to the staff. </t>
  </si>
  <si>
    <t>PM/ Logistics</t>
  </si>
  <si>
    <t xml:space="preserve">The goal is to execute the taper at least 48 before travel. </t>
  </si>
  <si>
    <t>Execute second taper</t>
  </si>
  <si>
    <t>Execute final taper</t>
  </si>
  <si>
    <t>Discuss Extension beyond scope</t>
  </si>
  <si>
    <t>CLOSE OUT</t>
  </si>
  <si>
    <t>Archive Airtable</t>
  </si>
  <si>
    <t>Post Go-Live</t>
  </si>
  <si>
    <t>10 Day Post Go-Live</t>
  </si>
  <si>
    <t>Archive Team Document Folder</t>
  </si>
  <si>
    <t xml:space="preserve">PM  </t>
  </si>
  <si>
    <t>Export Evaluations and update SKM</t>
  </si>
  <si>
    <t>Archive Connecteam Chats and Forms</t>
  </si>
  <si>
    <t>PM/ Onsite Leaders/ Client</t>
  </si>
  <si>
    <t xml:space="preserve"> Validate ADP/Connect hours sync</t>
  </si>
  <si>
    <t>Scheduling PM / Payroll</t>
  </si>
  <si>
    <t>Connecteam: Post Go Live</t>
  </si>
  <si>
    <t>Archive teams folder</t>
  </si>
  <si>
    <t>Remove User seats</t>
  </si>
  <si>
    <t>Connecteam Owner</t>
  </si>
  <si>
    <t>Finalize Burn Report</t>
  </si>
  <si>
    <t>Phase I- Discovery and Needs Assessment</t>
  </si>
  <si>
    <t>Stakeholder Kick-off Meeting</t>
  </si>
  <si>
    <t>Schedule a meeting with stakeholders</t>
  </si>
  <si>
    <t>Identify Workflows</t>
  </si>
  <si>
    <t xml:space="preserve">Document workflows across each department.  </t>
  </si>
  <si>
    <t>Nicergroup</t>
  </si>
  <si>
    <t>Nicergroup/Clinical Champions/IT</t>
  </si>
  <si>
    <t>Assess Technology Infrastructure</t>
  </si>
  <si>
    <t>Conduct assessment of current IT infrastructure</t>
  </si>
  <si>
    <t>Nicergroup/IT</t>
  </si>
  <si>
    <t>Define Project Scope</t>
  </si>
  <si>
    <t xml:space="preserve">Develop project scope and </t>
  </si>
  <si>
    <t>Nicergroup/Stakeholders</t>
  </si>
  <si>
    <t>Define Project Charter</t>
  </si>
  <si>
    <t>Project Charter</t>
  </si>
  <si>
    <t>6 weeks</t>
  </si>
  <si>
    <t>Assign Project Team and Roles and Responsibilities</t>
  </si>
  <si>
    <t>1 week</t>
  </si>
  <si>
    <t>3 weeks</t>
  </si>
  <si>
    <t>Phase 1</t>
  </si>
  <si>
    <t>Phase 2</t>
  </si>
  <si>
    <t>Project Kick-off</t>
  </si>
  <si>
    <t>Stakeholder Kick-off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</si>
</sst>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4" tint="-0.249977111117893"/>
      <name val="Calibri"/>
      <family val="2"/>
      <scheme val="minor"/>
    </font>
    <font>
      <b/>
      <sz val="11"/>
      <color theme="4" tint="-0.249977111117893"/>
      <name val="Calibri"/>
      <family val="2"/>
      <scheme val="minor"/>
    </font>
    <font>
      <b/>
      <sz val="14"/>
      <color theme="0"/>
      <name val="Calibri"/>
      <family val="2"/>
      <scheme val="minor"/>
    </font>
    <font>
      <b/>
      <sz val="16"/>
      <color theme="1"/>
      <name val="Calibri Light"/>
      <family val="2"/>
      <scheme val="major"/>
    </font>
    <font>
      <sz val="10"/>
      <color theme="4" tint="-0.249977111117893"/>
      <name val="Calibri"/>
      <family val="2"/>
      <scheme val="minor"/>
    </font>
    <font>
      <b/>
      <sz val="11"/>
      <color theme="1" tint="0.249977111117893"/>
      <name val="Calibri"/>
      <family val="2"/>
      <scheme val="minor"/>
    </font>
    <font>
      <i/>
      <sz val="9"/>
      <color theme="4" tint="-0.249977111117893"/>
      <name val="Calibri"/>
      <family val="2"/>
      <scheme val="minor"/>
    </font>
    <font>
      <b/>
      <sz val="8"/>
      <color theme="1" tint="0.249977111117893"/>
      <name val="Calibri"/>
      <family val="2"/>
      <scheme val="minor"/>
    </font>
    <font>
      <b/>
      <i/>
      <sz val="8"/>
      <color theme="4" tint="-0.249977111117893"/>
      <name val="Calibri"/>
      <family val="2"/>
      <scheme val="minor"/>
    </font>
    <font>
      <sz val="8"/>
      <color theme="1"/>
      <name val="Calibri"/>
      <family val="2"/>
      <scheme val="minor"/>
    </font>
    <font>
      <sz val="8"/>
      <color theme="4" tint="-0.249977111117893"/>
      <name val="Calibri"/>
      <family val="2"/>
      <scheme val="minor"/>
    </font>
    <font>
      <sz val="10"/>
      <name val="Calibri"/>
      <family val="2"/>
      <scheme val="minor"/>
    </font>
    <font>
      <b/>
      <sz val="12"/>
      <color theme="1" tint="0.34998626667073579"/>
      <name val="Calibri"/>
      <family val="2"/>
      <scheme val="minor"/>
    </font>
    <font>
      <b/>
      <sz val="10"/>
      <name val="Calibri"/>
      <family val="2"/>
      <scheme val="minor"/>
    </font>
    <font>
      <sz val="11"/>
      <color theme="1" tint="0.34998626667073579"/>
      <name val="Calibri"/>
      <family val="2"/>
      <scheme val="minor"/>
    </font>
    <font>
      <b/>
      <sz val="16"/>
      <color theme="4" tint="-0.249977111117893"/>
      <name val="Calibri Light"/>
      <family val="2"/>
      <scheme val="major"/>
    </font>
    <font>
      <sz val="11"/>
      <color rgb="FF1D2129"/>
      <name val="Calibri"/>
      <family val="2"/>
      <scheme val="minor"/>
    </font>
    <font>
      <sz val="20"/>
      <name val="Calibri Light"/>
      <family val="2"/>
      <scheme val="major"/>
    </font>
    <font>
      <u/>
      <sz val="11"/>
      <color rgb="FF0000FF"/>
      <name val="Calibri"/>
      <family val="2"/>
      <scheme val="minor"/>
    </font>
    <font>
      <u/>
      <sz val="14"/>
      <color rgb="FF0000FF"/>
      <name val="Calibri"/>
      <family val="2"/>
      <scheme val="minor"/>
    </font>
    <font>
      <b/>
      <sz val="11"/>
      <color theme="1" tint="0.34998626667073579"/>
      <name val="Calibri"/>
      <family val="2"/>
      <scheme val="minor"/>
    </font>
    <font>
      <sz val="10"/>
      <color theme="1" tint="0.499984740745262"/>
      <name val="Calibri"/>
      <family val="2"/>
      <scheme val="minor"/>
    </font>
    <font>
      <b/>
      <sz val="11"/>
      <color theme="4" tint="-0.499984740745262"/>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rgb="FF363636"/>
      <name val="Calibri"/>
      <family val="2"/>
      <scheme val="minor"/>
    </font>
    <font>
      <b/>
      <sz val="11"/>
      <color rgb="FF000000"/>
      <name val="Aptos Narrow"/>
      <family val="2"/>
    </font>
    <font>
      <sz val="11"/>
      <color rgb="FF363636"/>
      <name val="Calibri"/>
      <family val="2"/>
      <scheme val="minor"/>
    </font>
    <font>
      <sz val="11"/>
      <color rgb="FF000000"/>
      <name val="Aptos Narrow"/>
      <family val="2"/>
    </font>
    <font>
      <b/>
      <sz val="11"/>
      <color rgb="FF000000"/>
      <name val="Calibri"/>
      <family val="2"/>
      <scheme val="minor"/>
    </font>
    <font>
      <sz val="11"/>
      <color rgb="FF000000"/>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4"/>
        <bgColor theme="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A6A6A6"/>
        <bgColor rgb="FF000000"/>
      </patternFill>
    </fill>
    <fill>
      <patternFill patternType="solid">
        <fgColor theme="0" tint="-0.34998626667073579"/>
        <bgColor indexed="64"/>
      </patternFill>
    </fill>
    <fill>
      <patternFill patternType="solid">
        <fgColor theme="0" tint="-0.249977111117893"/>
        <bgColor indexed="64"/>
      </patternFill>
    </fill>
  </fills>
  <borders count="22">
    <border>
      <left/>
      <right/>
      <top/>
      <bottom/>
      <diagonal/>
    </border>
    <border>
      <left/>
      <right/>
      <top style="thin">
        <color theme="4"/>
      </top>
      <bottom/>
      <diagonal/>
    </border>
    <border>
      <left/>
      <right/>
      <top style="thin">
        <color theme="4"/>
      </top>
      <bottom style="thin">
        <color theme="4"/>
      </bottom>
      <diagonal/>
    </border>
    <border>
      <left style="dotted">
        <color indexed="64"/>
      </left>
      <right/>
      <top/>
      <bottom/>
      <diagonal/>
    </border>
    <border>
      <left/>
      <right style="dotted">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dotted">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1BBCC"/>
      </left>
      <right style="thin">
        <color rgb="FFB1BBCC"/>
      </right>
      <top style="thin">
        <color rgb="FFB1BBCC"/>
      </top>
      <bottom/>
      <diagonal/>
    </border>
    <border>
      <left style="thin">
        <color rgb="FFB1BBCC"/>
      </left>
      <right style="thin">
        <color rgb="FFB1BBCC"/>
      </right>
      <top style="thin">
        <color rgb="FFB1BBCC"/>
      </top>
      <bottom style="thin">
        <color rgb="FFB1BBCC"/>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s>
  <cellStyleXfs count="3">
    <xf numFmtId="0" fontId="0" fillId="0" borderId="0"/>
    <xf numFmtId="0" fontId="19" fillId="0" borderId="0" applyNumberFormat="0" applyFill="0" applyBorder="0" applyAlignment="0" applyProtection="0"/>
    <xf numFmtId="0" fontId="24" fillId="0" borderId="0"/>
  </cellStyleXfs>
  <cellXfs count="158">
    <xf numFmtId="0" fontId="0" fillId="0" borderId="0" xfId="0"/>
    <xf numFmtId="0" fontId="2" fillId="0" borderId="0" xfId="0" applyFont="1" applyAlignment="1">
      <alignment vertical="center"/>
    </xf>
    <xf numFmtId="0" fontId="3" fillId="3" borderId="1" xfId="0" applyFont="1" applyFill="1" applyBorder="1" applyAlignment="1">
      <alignment horizontal="center" vertical="center"/>
    </xf>
    <xf numFmtId="0" fontId="4" fillId="0" borderId="0" xfId="0" applyFont="1"/>
    <xf numFmtId="0" fontId="5" fillId="0" borderId="0" xfId="0" applyFont="1" applyAlignment="1">
      <alignment horizontal="left" vertical="center" indent="1"/>
    </xf>
    <xf numFmtId="0" fontId="1" fillId="0" borderId="0" xfId="0" applyFont="1" applyAlignment="1">
      <alignment horizontal="left" vertical="center"/>
    </xf>
    <xf numFmtId="14" fontId="2" fillId="0" borderId="2" xfId="0" applyNumberFormat="1" applyFont="1" applyBorder="1" applyAlignment="1">
      <alignment horizontal="left" vertical="center" indent="1"/>
    </xf>
    <xf numFmtId="14"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14" fontId="6" fillId="0" borderId="2" xfId="0" applyNumberFormat="1" applyFont="1" applyBorder="1" applyAlignment="1">
      <alignment horizontal="center" vertical="center"/>
    </xf>
    <xf numFmtId="0" fontId="6" fillId="0" borderId="2" xfId="0" applyFont="1" applyBorder="1" applyAlignment="1">
      <alignment horizontal="center" vertical="center"/>
    </xf>
    <xf numFmtId="4" fontId="2" fillId="0" borderId="2" xfId="0" applyNumberFormat="1" applyFont="1" applyBorder="1" applyAlignment="1">
      <alignment horizontal="left" vertical="center" indent="1"/>
    </xf>
    <xf numFmtId="14" fontId="7" fillId="2" borderId="2" xfId="0" applyNumberFormat="1" applyFont="1" applyFill="1" applyBorder="1" applyAlignment="1">
      <alignment horizontal="left" vertical="center" indent="1"/>
    </xf>
    <xf numFmtId="14" fontId="8" fillId="2" borderId="2" xfId="0" applyNumberFormat="1" applyFont="1" applyFill="1" applyBorder="1" applyAlignment="1">
      <alignment horizontal="center" vertical="center"/>
    </xf>
    <xf numFmtId="0" fontId="8" fillId="2" borderId="2" xfId="0" applyFont="1" applyFill="1" applyBorder="1" applyAlignment="1">
      <alignment horizontal="center" vertical="center"/>
    </xf>
    <xf numFmtId="14" fontId="9" fillId="2" borderId="2" xfId="0" applyNumberFormat="1" applyFont="1" applyFill="1" applyBorder="1" applyAlignment="1">
      <alignment horizontal="left" vertical="center" indent="1"/>
    </xf>
    <xf numFmtId="0" fontId="10" fillId="0" borderId="0" xfId="0" applyFont="1"/>
    <xf numFmtId="0" fontId="11" fillId="0" borderId="0" xfId="0" applyFont="1" applyAlignment="1">
      <alignment horizontal="left" vertical="center"/>
    </xf>
    <xf numFmtId="0" fontId="12" fillId="0" borderId="0" xfId="0" applyFont="1" applyAlignment="1">
      <alignment vertical="top"/>
    </xf>
    <xf numFmtId="0" fontId="12" fillId="0" borderId="0" xfId="0" applyFont="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applyAlignment="1">
      <alignment vertical="center"/>
    </xf>
    <xf numFmtId="0" fontId="12" fillId="0" borderId="0" xfId="0" applyFont="1" applyAlignment="1">
      <alignment horizontal="left" vertical="center"/>
    </xf>
    <xf numFmtId="0" fontId="16" fillId="0" borderId="0" xfId="0" applyFont="1" applyAlignment="1">
      <alignment vertical="center"/>
    </xf>
    <xf numFmtId="0" fontId="17" fillId="0" borderId="0" xfId="0" applyFont="1" applyAlignment="1">
      <alignment horizontal="left" vertical="top" wrapText="1" indent="1"/>
    </xf>
    <xf numFmtId="0" fontId="18" fillId="0" borderId="0" xfId="0" applyFont="1"/>
    <xf numFmtId="0" fontId="20" fillId="0" borderId="0" xfId="1" applyFont="1" applyAlignment="1">
      <alignment horizontal="left" indent="1"/>
    </xf>
    <xf numFmtId="0" fontId="21" fillId="0" borderId="0" xfId="1" applyFont="1" applyAlignment="1">
      <alignment vertical="center"/>
    </xf>
    <xf numFmtId="0" fontId="22" fillId="0" borderId="0" xfId="0" applyFont="1" applyAlignment="1">
      <alignment horizontal="left" vertical="top"/>
    </xf>
    <xf numFmtId="0" fontId="23" fillId="0" borderId="0" xfId="0" applyFont="1"/>
    <xf numFmtId="0" fontId="1" fillId="0" borderId="0" xfId="0" applyFont="1" applyAlignment="1">
      <alignment vertical="center"/>
    </xf>
    <xf numFmtId="0" fontId="0" fillId="0" borderId="0" xfId="0" applyAlignment="1">
      <alignment horizontal="center"/>
    </xf>
    <xf numFmtId="0" fontId="0" fillId="6" borderId="0" xfId="0" applyFill="1"/>
    <xf numFmtId="0" fontId="0" fillId="6" borderId="3" xfId="0" applyFill="1" applyBorder="1"/>
    <xf numFmtId="0" fontId="0" fillId="6" borderId="4" xfId="0" applyFill="1" applyBorder="1"/>
    <xf numFmtId="0" fontId="0" fillId="4" borderId="4" xfId="0" applyFill="1" applyBorder="1"/>
    <xf numFmtId="0" fontId="0" fillId="0" borderId="4" xfId="0" applyBorder="1"/>
    <xf numFmtId="0" fontId="0" fillId="4" borderId="0" xfId="0" applyFill="1"/>
    <xf numFmtId="0" fontId="0" fillId="7" borderId="0" xfId="0" applyFill="1"/>
    <xf numFmtId="0" fontId="0" fillId="0" borderId="3" xfId="0" applyBorder="1"/>
    <xf numFmtId="0" fontId="0" fillId="8" borderId="0" xfId="0" applyFill="1"/>
    <xf numFmtId="0" fontId="0" fillId="6" borderId="5" xfId="0" applyFill="1" applyBorder="1"/>
    <xf numFmtId="0" fontId="0" fillId="6" borderId="6" xfId="0" applyFill="1" applyBorder="1"/>
    <xf numFmtId="0" fontId="25" fillId="4" borderId="6" xfId="0" applyFont="1" applyFill="1" applyBorder="1"/>
    <xf numFmtId="0" fontId="0" fillId="0" borderId="6" xfId="0" applyBorder="1"/>
    <xf numFmtId="0" fontId="0" fillId="0" borderId="7" xfId="0" applyBorder="1"/>
    <xf numFmtId="0" fontId="0" fillId="6" borderId="9" xfId="0" applyFill="1" applyBorder="1"/>
    <xf numFmtId="0" fontId="0" fillId="6" borderId="8" xfId="0" applyFill="1" applyBorder="1"/>
    <xf numFmtId="0" fontId="0" fillId="6" borderId="10" xfId="0" applyFill="1" applyBorder="1"/>
    <xf numFmtId="0" fontId="0" fillId="6" borderId="11" xfId="0" applyFill="1" applyBorder="1"/>
    <xf numFmtId="0" fontId="0" fillId="6" borderId="12" xfId="0" applyFill="1" applyBorder="1"/>
    <xf numFmtId="0" fontId="25" fillId="6" borderId="0" xfId="0" applyFont="1" applyFill="1"/>
    <xf numFmtId="0" fontId="25" fillId="4" borderId="0" xfId="0" applyFont="1" applyFill="1"/>
    <xf numFmtId="0" fontId="25" fillId="8" borderId="0" xfId="0" applyFont="1" applyFill="1"/>
    <xf numFmtId="0" fontId="25" fillId="0" borderId="0" xfId="0" applyFont="1"/>
    <xf numFmtId="0" fontId="25" fillId="6" borderId="3" xfId="0" applyFont="1" applyFill="1" applyBorder="1"/>
    <xf numFmtId="14" fontId="2" fillId="4" borderId="2" xfId="0" applyNumberFormat="1" applyFont="1" applyFill="1" applyBorder="1" applyAlignment="1">
      <alignment horizontal="left" vertical="center" indent="1"/>
    </xf>
    <xf numFmtId="0" fontId="25" fillId="10" borderId="0" xfId="0" applyFont="1" applyFill="1" applyAlignment="1">
      <alignment horizontal="center" vertical="center"/>
    </xf>
    <xf numFmtId="49" fontId="27" fillId="10" borderId="14" xfId="2" applyNumberFormat="1" applyFont="1" applyFill="1" applyBorder="1" applyAlignment="1">
      <alignment horizontal="center" vertical="center" wrapText="1"/>
    </xf>
    <xf numFmtId="0" fontId="27" fillId="10" borderId="14" xfId="2" applyFont="1" applyFill="1" applyBorder="1" applyAlignment="1">
      <alignment horizontal="center" vertical="center" wrapText="1"/>
    </xf>
    <xf numFmtId="14" fontId="27" fillId="10" borderId="14" xfId="2" applyNumberFormat="1" applyFont="1" applyFill="1" applyBorder="1" applyAlignment="1">
      <alignment horizontal="center" vertical="center" wrapText="1"/>
    </xf>
    <xf numFmtId="0" fontId="27" fillId="10" borderId="15" xfId="2" applyFont="1" applyFill="1" applyBorder="1" applyAlignment="1">
      <alignment horizontal="center" vertical="center" wrapText="1"/>
    </xf>
    <xf numFmtId="0" fontId="28" fillId="11" borderId="16" xfId="0" applyFont="1" applyFill="1" applyBorder="1" applyAlignment="1">
      <alignment vertical="center"/>
    </xf>
    <xf numFmtId="0" fontId="29" fillId="12" borderId="17" xfId="2" applyFont="1" applyFill="1" applyBorder="1" applyAlignment="1">
      <alignment vertical="center" wrapText="1"/>
    </xf>
    <xf numFmtId="14" fontId="27" fillId="12" borderId="17" xfId="2" applyNumberFormat="1" applyFont="1" applyFill="1" applyBorder="1" applyAlignment="1">
      <alignment vertical="center" wrapText="1"/>
    </xf>
    <xf numFmtId="0" fontId="30" fillId="0" borderId="18" xfId="0" applyFont="1" applyBorder="1" applyAlignment="1">
      <alignment vertical="center"/>
    </xf>
    <xf numFmtId="0" fontId="30" fillId="0" borderId="16" xfId="0" applyFont="1" applyBorder="1" applyAlignment="1">
      <alignment vertical="center" wrapText="1"/>
    </xf>
    <xf numFmtId="0" fontId="27" fillId="0" borderId="18" xfId="2" applyFont="1" applyBorder="1" applyAlignment="1">
      <alignment horizontal="center" vertical="center" wrapText="1"/>
    </xf>
    <xf numFmtId="14" fontId="27" fillId="0" borderId="18" xfId="2" applyNumberFormat="1" applyFont="1" applyBorder="1" applyAlignment="1">
      <alignment horizontal="center" vertical="center" wrapText="1"/>
    </xf>
    <xf numFmtId="0" fontId="30" fillId="0" borderId="18" xfId="0" applyFont="1" applyBorder="1" applyAlignment="1">
      <alignment vertical="center" wrapText="1"/>
    </xf>
    <xf numFmtId="0" fontId="30" fillId="0" borderId="19" xfId="0" applyFont="1" applyBorder="1" applyAlignment="1">
      <alignment vertical="center" wrapText="1"/>
    </xf>
    <xf numFmtId="0" fontId="30" fillId="0" borderId="20" xfId="0" applyFont="1" applyBorder="1" applyAlignment="1">
      <alignment vertical="center" wrapText="1"/>
    </xf>
    <xf numFmtId="0" fontId="31" fillId="12" borderId="17" xfId="0" applyFont="1" applyFill="1" applyBorder="1" applyAlignment="1">
      <alignment vertical="center"/>
    </xf>
    <xf numFmtId="14" fontId="27" fillId="12" borderId="18" xfId="2" applyNumberFormat="1" applyFont="1" applyFill="1" applyBorder="1" applyAlignment="1">
      <alignment vertical="center" wrapText="1"/>
    </xf>
    <xf numFmtId="0" fontId="29" fillId="12" borderId="18" xfId="2" applyFont="1" applyFill="1" applyBorder="1" applyAlignment="1">
      <alignment vertical="center" wrapText="1"/>
    </xf>
    <xf numFmtId="0" fontId="25" fillId="0" borderId="18" xfId="0" applyFont="1" applyBorder="1" applyAlignment="1">
      <alignment vertical="center"/>
    </xf>
    <xf numFmtId="0" fontId="27" fillId="0" borderId="18" xfId="2" applyFont="1" applyBorder="1" applyAlignment="1">
      <alignment vertical="center" wrapText="1"/>
    </xf>
    <xf numFmtId="0" fontId="29" fillId="0" borderId="18" xfId="2" applyFont="1" applyBorder="1" applyAlignment="1">
      <alignment vertical="center" wrapText="1"/>
    </xf>
    <xf numFmtId="14" fontId="27" fillId="0" borderId="18" xfId="2" applyNumberFormat="1" applyFont="1" applyBorder="1" applyAlignment="1">
      <alignment vertical="center" wrapText="1"/>
    </xf>
    <xf numFmtId="0" fontId="0" fillId="0" borderId="18" xfId="0" applyBorder="1" applyAlignment="1">
      <alignment horizontal="left" vertical="center" indent="1"/>
    </xf>
    <xf numFmtId="14" fontId="29" fillId="0" borderId="18" xfId="2" applyNumberFormat="1" applyFont="1" applyBorder="1" applyAlignment="1">
      <alignment vertical="center" wrapText="1"/>
    </xf>
    <xf numFmtId="0" fontId="29" fillId="0" borderId="18" xfId="2" applyFont="1" applyBorder="1" applyAlignment="1">
      <alignment horizontal="left" vertical="center" wrapText="1"/>
    </xf>
    <xf numFmtId="0" fontId="31" fillId="13" borderId="18" xfId="0" applyFont="1" applyFill="1" applyBorder="1" applyAlignment="1">
      <alignment vertical="center"/>
    </xf>
    <xf numFmtId="0" fontId="0" fillId="12" borderId="18" xfId="0" applyFill="1" applyBorder="1" applyAlignment="1">
      <alignment vertical="center" wrapText="1"/>
    </xf>
    <xf numFmtId="0" fontId="0" fillId="12" borderId="18" xfId="0" applyFill="1" applyBorder="1"/>
    <xf numFmtId="0" fontId="0" fillId="0" borderId="18" xfId="0" applyBorder="1" applyAlignment="1">
      <alignment vertical="center" wrapText="1"/>
    </xf>
    <xf numFmtId="0" fontId="0" fillId="0" borderId="18" xfId="0" applyBorder="1"/>
    <xf numFmtId="0" fontId="31" fillId="0" borderId="18" xfId="0" applyFont="1" applyBorder="1" applyAlignment="1">
      <alignment vertical="center" wrapText="1"/>
    </xf>
    <xf numFmtId="0" fontId="32" fillId="0" borderId="18" xfId="0" applyFont="1" applyBorder="1" applyAlignment="1">
      <alignment vertical="center" wrapText="1"/>
    </xf>
    <xf numFmtId="0" fontId="0" fillId="12" borderId="18" xfId="0" applyFill="1" applyBorder="1" applyAlignment="1">
      <alignment vertical="center"/>
    </xf>
    <xf numFmtId="0" fontId="31" fillId="0" borderId="18" xfId="0" applyFont="1" applyBorder="1" applyAlignment="1">
      <alignment vertical="center"/>
    </xf>
    <xf numFmtId="0" fontId="0" fillId="0" borderId="18" xfId="0" applyBorder="1" applyAlignment="1">
      <alignment vertical="center"/>
    </xf>
    <xf numFmtId="0" fontId="32" fillId="0" borderId="18" xfId="0" applyFont="1" applyBorder="1" applyAlignment="1">
      <alignment horizontal="left" vertical="center" indent="1"/>
    </xf>
    <xf numFmtId="0" fontId="31" fillId="0" borderId="18" xfId="0" applyFont="1" applyBorder="1" applyAlignment="1">
      <alignment horizontal="left" vertical="center" indent="1"/>
    </xf>
    <xf numFmtId="0" fontId="32" fillId="0" borderId="18" xfId="0" applyFont="1" applyBorder="1" applyAlignment="1">
      <alignment horizontal="left" vertical="center" indent="2"/>
    </xf>
    <xf numFmtId="0" fontId="0" fillId="0" borderId="0" xfId="0" applyAlignment="1">
      <alignment vertical="center" wrapText="1"/>
    </xf>
    <xf numFmtId="0" fontId="32" fillId="0" borderId="18" xfId="0" applyFont="1" applyBorder="1" applyAlignment="1">
      <alignment horizontal="left" vertical="center" indent="3"/>
    </xf>
    <xf numFmtId="0" fontId="30" fillId="0" borderId="18" xfId="0" applyFont="1" applyBorder="1" applyAlignment="1">
      <alignment horizontal="left" vertical="center" wrapText="1" indent="2"/>
    </xf>
    <xf numFmtId="0" fontId="30" fillId="0" borderId="0" xfId="0" applyFont="1" applyAlignment="1">
      <alignment vertical="center" wrapText="1"/>
    </xf>
    <xf numFmtId="0" fontId="28" fillId="0" borderId="18" xfId="0" applyFont="1" applyBorder="1" applyAlignment="1">
      <alignment horizontal="left" vertical="center" wrapText="1" indent="1"/>
    </xf>
    <xf numFmtId="0" fontId="30" fillId="0" borderId="0" xfId="0" applyFont="1" applyAlignment="1">
      <alignment wrapText="1"/>
    </xf>
    <xf numFmtId="0" fontId="30" fillId="0" borderId="18" xfId="0" applyFont="1" applyBorder="1" applyAlignment="1">
      <alignment horizontal="left" vertical="center" wrapText="1"/>
    </xf>
    <xf numFmtId="0" fontId="30" fillId="0" borderId="18" xfId="0" applyFont="1" applyBorder="1" applyAlignment="1">
      <alignment horizontal="left" vertical="center" wrapText="1" indent="3"/>
    </xf>
    <xf numFmtId="0" fontId="30" fillId="12" borderId="18" xfId="0" applyFont="1" applyFill="1" applyBorder="1" applyAlignment="1">
      <alignment vertical="center" wrapText="1"/>
    </xf>
    <xf numFmtId="0" fontId="0" fillId="0" borderId="0" xfId="0" applyAlignment="1">
      <alignment vertical="center"/>
    </xf>
    <xf numFmtId="0" fontId="28" fillId="0" borderId="18" xfId="0" applyFont="1" applyBorder="1" applyAlignment="1">
      <alignment horizontal="left" vertical="center" wrapText="1"/>
    </xf>
    <xf numFmtId="0" fontId="30" fillId="0" borderId="18" xfId="0" applyFont="1" applyBorder="1" applyAlignment="1">
      <alignment horizontal="left" vertical="center" wrapText="1" indent="1"/>
    </xf>
    <xf numFmtId="0" fontId="28" fillId="0" borderId="18" xfId="0" applyFont="1" applyBorder="1" applyAlignment="1">
      <alignment horizontal="left" wrapText="1"/>
    </xf>
    <xf numFmtId="0" fontId="30" fillId="0" borderId="18" xfId="0" applyFont="1" applyBorder="1" applyAlignment="1">
      <alignment wrapText="1"/>
    </xf>
    <xf numFmtId="0" fontId="28" fillId="0" borderId="18" xfId="0" applyFont="1" applyBorder="1" applyAlignment="1">
      <alignment wrapText="1"/>
    </xf>
    <xf numFmtId="0" fontId="30" fillId="0" borderId="18" xfId="0" applyFont="1" applyBorder="1" applyAlignment="1">
      <alignment horizontal="left" wrapText="1" indent="1"/>
    </xf>
    <xf numFmtId="0" fontId="30" fillId="0" borderId="18" xfId="0" applyFont="1" applyBorder="1" applyAlignment="1">
      <alignment horizontal="left" wrapText="1" indent="2"/>
    </xf>
    <xf numFmtId="0" fontId="30" fillId="0" borderId="18" xfId="0" applyFont="1" applyBorder="1" applyAlignment="1">
      <alignment horizontal="left" wrapText="1"/>
    </xf>
    <xf numFmtId="0" fontId="25" fillId="12" borderId="17" xfId="0" applyFont="1" applyFill="1" applyBorder="1"/>
    <xf numFmtId="0" fontId="0" fillId="12" borderId="17" xfId="0" applyFill="1" applyBorder="1" applyAlignment="1">
      <alignment vertical="center"/>
    </xf>
    <xf numFmtId="0" fontId="0" fillId="12" borderId="17" xfId="0" applyFill="1" applyBorder="1"/>
    <xf numFmtId="49" fontId="27" fillId="12" borderId="17" xfId="2" applyNumberFormat="1" applyFont="1" applyFill="1" applyBorder="1" applyAlignment="1">
      <alignment horizontal="center" vertical="center" wrapText="1"/>
    </xf>
    <xf numFmtId="0" fontId="30" fillId="0" borderId="18" xfId="0" applyFont="1" applyBorder="1" applyAlignment="1">
      <alignment horizontal="center" vertical="center"/>
    </xf>
    <xf numFmtId="0" fontId="30" fillId="0" borderId="18" xfId="0" applyFont="1" applyBorder="1" applyAlignment="1">
      <alignment horizontal="center" vertical="center" wrapText="1"/>
    </xf>
    <xf numFmtId="49" fontId="29" fillId="0" borderId="18" xfId="2" applyNumberFormat="1" applyFont="1" applyBorder="1" applyAlignment="1">
      <alignment horizontal="center" vertical="center" wrapText="1"/>
    </xf>
    <xf numFmtId="0" fontId="31" fillId="12" borderId="18" xfId="0" applyFont="1" applyFill="1" applyBorder="1" applyAlignment="1">
      <alignment horizontal="center" vertical="center"/>
    </xf>
    <xf numFmtId="0" fontId="30" fillId="0" borderId="21" xfId="0" applyFont="1" applyBorder="1" applyAlignment="1">
      <alignment horizontal="center" vertical="center" wrapText="1"/>
    </xf>
    <xf numFmtId="0" fontId="32" fillId="12" borderId="18" xfId="0" applyFont="1" applyFill="1"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xf>
    <xf numFmtId="0" fontId="0" fillId="12" borderId="18" xfId="0" applyFill="1" applyBorder="1" applyAlignment="1">
      <alignment horizontal="center"/>
    </xf>
    <xf numFmtId="0" fontId="30" fillId="0" borderId="18" xfId="0" applyFont="1" applyBorder="1" applyAlignment="1">
      <alignment horizontal="center" wrapText="1"/>
    </xf>
    <xf numFmtId="0" fontId="0" fillId="12" borderId="17" xfId="0" applyFill="1" applyBorder="1" applyAlignment="1">
      <alignment horizontal="center"/>
    </xf>
    <xf numFmtId="0" fontId="30" fillId="0" borderId="16" xfId="0" applyFont="1" applyBorder="1" applyAlignment="1">
      <alignment vertical="center"/>
    </xf>
    <xf numFmtId="0" fontId="29" fillId="0" borderId="18" xfId="2" applyFont="1" applyBorder="1" applyAlignment="1">
      <alignment horizontal="center" vertical="center" wrapText="1"/>
    </xf>
    <xf numFmtId="0" fontId="30" fillId="0" borderId="18" xfId="0" applyFont="1" applyBorder="1" applyAlignment="1">
      <alignment horizontal="left" vertical="center" indent="2"/>
    </xf>
    <xf numFmtId="14" fontId="2" fillId="4" borderId="2" xfId="0" applyNumberFormat="1" applyFont="1" applyFill="1" applyBorder="1" applyAlignment="1">
      <alignment horizontal="left" vertical="center" indent="2"/>
    </xf>
    <xf numFmtId="14" fontId="25" fillId="6" borderId="4" xfId="0" applyNumberFormat="1" applyFont="1" applyFill="1" applyBorder="1" applyAlignment="1">
      <alignment horizontal="center"/>
    </xf>
    <xf numFmtId="0" fontId="25" fillId="6" borderId="4" xfId="0" applyFont="1" applyFill="1" applyBorder="1" applyAlignment="1">
      <alignment horizontal="center"/>
    </xf>
    <xf numFmtId="0" fontId="25" fillId="6" borderId="0" xfId="0" applyFont="1" applyFill="1" applyAlignment="1">
      <alignment horizontal="center"/>
    </xf>
    <xf numFmtId="14" fontId="25" fillId="8" borderId="12" xfId="0" applyNumberFormat="1" applyFont="1" applyFill="1" applyBorder="1" applyAlignment="1">
      <alignment horizontal="center"/>
    </xf>
    <xf numFmtId="0" fontId="25" fillId="8" borderId="12" xfId="0" applyFont="1" applyFill="1" applyBorder="1" applyAlignment="1">
      <alignment horizontal="center"/>
    </xf>
    <xf numFmtId="0" fontId="25" fillId="8" borderId="13" xfId="0" applyFont="1" applyFill="1" applyBorder="1" applyAlignment="1">
      <alignment horizontal="center"/>
    </xf>
    <xf numFmtId="14" fontId="25" fillId="4" borderId="8" xfId="0" applyNumberFormat="1" applyFont="1" applyFill="1" applyBorder="1" applyAlignment="1">
      <alignment horizontal="center"/>
    </xf>
    <xf numFmtId="14" fontId="25" fillId="4" borderId="0" xfId="0" applyNumberFormat="1" applyFont="1" applyFill="1" applyAlignment="1">
      <alignment horizontal="center"/>
    </xf>
    <xf numFmtId="0" fontId="25" fillId="9" borderId="0" xfId="0" applyFont="1" applyFill="1" applyAlignment="1">
      <alignment horizontal="center"/>
    </xf>
    <xf numFmtId="0" fontId="25" fillId="9" borderId="4" xfId="0" applyFont="1" applyFill="1" applyBorder="1" applyAlignment="1">
      <alignment horizontal="center"/>
    </xf>
    <xf numFmtId="0" fontId="25" fillId="8" borderId="3" xfId="0" applyFont="1" applyFill="1" applyBorder="1" applyAlignment="1">
      <alignment horizontal="center"/>
    </xf>
    <xf numFmtId="0" fontId="25" fillId="8" borderId="0" xfId="0" applyFont="1" applyFill="1" applyAlignment="1">
      <alignment horizontal="center"/>
    </xf>
    <xf numFmtId="0" fontId="25" fillId="7" borderId="3" xfId="0" applyFont="1" applyFill="1" applyBorder="1" applyAlignment="1">
      <alignment horizontal="center"/>
    </xf>
    <xf numFmtId="0" fontId="25" fillId="7" borderId="4" xfId="0" applyFont="1" applyFill="1" applyBorder="1" applyAlignment="1">
      <alignment horizontal="center"/>
    </xf>
    <xf numFmtId="0" fontId="25" fillId="8" borderId="4" xfId="0" applyFont="1" applyFill="1" applyBorder="1" applyAlignment="1">
      <alignment horizontal="center"/>
    </xf>
    <xf numFmtId="0" fontId="25" fillId="7" borderId="0" xfId="0" applyFont="1" applyFill="1" applyAlignment="1">
      <alignment horizontal="center"/>
    </xf>
    <xf numFmtId="0" fontId="0" fillId="5" borderId="0" xfId="0" applyFill="1" applyAlignment="1">
      <alignment horizontal="center"/>
    </xf>
    <xf numFmtId="0" fontId="0" fillId="0" borderId="0" xfId="0" applyAlignment="1">
      <alignment horizontal="center"/>
    </xf>
    <xf numFmtId="0" fontId="0" fillId="0" borderId="9" xfId="0" applyBorder="1" applyAlignment="1">
      <alignment horizontal="center"/>
    </xf>
    <xf numFmtId="0" fontId="25" fillId="9" borderId="6" xfId="0" applyFont="1" applyFill="1" applyBorder="1" applyAlignment="1">
      <alignment horizontal="center"/>
    </xf>
    <xf numFmtId="0" fontId="25" fillId="8" borderId="6" xfId="0" applyFont="1" applyFill="1" applyBorder="1" applyAlignment="1">
      <alignment horizontal="center"/>
    </xf>
    <xf numFmtId="0" fontId="0" fillId="5" borderId="8" xfId="0" applyFill="1" applyBorder="1" applyAlignment="1">
      <alignment horizontal="center"/>
    </xf>
    <xf numFmtId="0" fontId="25" fillId="4" borderId="8" xfId="0" applyFont="1" applyFill="1" applyBorder="1" applyAlignment="1">
      <alignment horizontal="center"/>
    </xf>
    <xf numFmtId="0" fontId="25" fillId="4" borderId="0" xfId="0" applyFont="1" applyFill="1" applyAlignment="1">
      <alignment horizontal="center"/>
    </xf>
    <xf numFmtId="0" fontId="25" fillId="4" borderId="4" xfId="0" applyFont="1" applyFill="1" applyBorder="1" applyAlignment="1">
      <alignment horizontal="center"/>
    </xf>
  </cellXfs>
  <cellStyles count="3">
    <cellStyle name="Hyperlink" xfId="1" builtinId="8" customBuiltin="1"/>
    <cellStyle name="Normal" xfId="0" builtinId="0"/>
    <cellStyle name="Normal 104" xfId="2" xr:uid="{4621C5D4-3B7C-456D-8CD3-8DB226CBEF6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1"/>
          <a:lstStyle/>
          <a:p>
            <a:pPr>
              <a:defRPr sz="1800" b="1" i="0" u="none" strike="noStrike" kern="1200" spc="0" baseline="0">
                <a:solidFill>
                  <a:schemeClr val="accent1">
                    <a:lumMod val="75000"/>
                  </a:schemeClr>
                </a:solidFill>
                <a:latin typeface="+mn-lt"/>
                <a:ea typeface="+mn-ea"/>
                <a:cs typeface="+mn-cs"/>
              </a:defRPr>
            </a:pPr>
            <a:r>
              <a:rPr lang="en-US" sz="1800" b="1">
                <a:solidFill>
                  <a:schemeClr val="accent1">
                    <a:lumMod val="75000"/>
                  </a:schemeClr>
                </a:solidFill>
                <a:latin typeface="+mn-lt"/>
              </a:rPr>
              <a:t>[Project Timeline Title]</a:t>
            </a:r>
          </a:p>
        </c:rich>
      </c:tx>
      <c:layout>
        <c:manualLayout>
          <c:xMode val="edge"/>
          <c:yMode val="edge"/>
          <c:x val="0.36354412275822873"/>
          <c:y val="3.1403339839978964E-2"/>
        </c:manualLayout>
      </c:layout>
      <c:overlay val="0"/>
      <c:spPr>
        <a:noFill/>
        <a:ln>
          <a:noFill/>
        </a:ln>
        <a:effectLst/>
      </c:spPr>
    </c:title>
    <c:autoTitleDeleted val="0"/>
    <c:plotArea>
      <c:layout>
        <c:manualLayout>
          <c:layoutTarget val="inner"/>
          <c:xMode val="edge"/>
          <c:yMode val="edge"/>
          <c:x val="5.4055033837191693E-2"/>
          <c:y val="8.5121294489557672E-2"/>
          <c:w val="0.9098320267571216"/>
          <c:h val="0.88569663233045304"/>
        </c:manualLayout>
      </c:layout>
      <c:scatterChart>
        <c:scatterStyle val="lineMarker"/>
        <c:varyColors val="0"/>
        <c:ser>
          <c:idx val="1"/>
          <c:order val="0"/>
          <c:tx>
            <c:v>Tasks</c:v>
          </c:tx>
          <c:spPr>
            <a:ln w="25400" cap="rnd">
              <a:noFill/>
              <a:round/>
            </a:ln>
            <a:effectLst/>
          </c:spPr>
          <c:marker>
            <c:symbol val="diamond"/>
            <c:size val="12"/>
            <c:spPr>
              <a:solidFill>
                <a:schemeClr val="accent1">
                  <a:lumMod val="60000"/>
                  <a:lumOff val="40000"/>
                </a:schemeClr>
              </a:solidFill>
              <a:ln w="9525">
                <a:noFill/>
              </a:ln>
              <a:effectLst/>
            </c:spPr>
          </c:marker>
          <c:dLbls>
            <c:dLbl>
              <c:idx val="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75F-47E9-9661-163A2FF19FEB}"/>
                </c:ext>
              </c:extLst>
            </c:dLbl>
            <c:dLbl>
              <c:idx val="1"/>
              <c:tx>
                <c:rich>
                  <a:bodyPr/>
                  <a:lstStyle/>
                  <a:p>
                    <a:fld id="{BFD9D320-D712-41E8-88FC-92B0DB978D8B}"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75F-47E9-9661-163A2FF19FEB}"/>
                </c:ext>
              </c:extLst>
            </c:dLbl>
            <c:dLbl>
              <c:idx val="2"/>
              <c:tx>
                <c:rich>
                  <a:bodyPr/>
                  <a:lstStyle/>
                  <a:p>
                    <a:fld id="{53E24887-AC31-4AE6-B0E3-8260C1AA731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75F-47E9-9661-163A2FF19FEB}"/>
                </c:ext>
              </c:extLst>
            </c:dLbl>
            <c:dLbl>
              <c:idx val="3"/>
              <c:tx>
                <c:rich>
                  <a:bodyPr/>
                  <a:lstStyle/>
                  <a:p>
                    <a:fld id="{A1183B38-D37B-4F39-813F-F4ACE21C42C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75F-47E9-9661-163A2FF19FEB}"/>
                </c:ext>
              </c:extLst>
            </c:dLbl>
            <c:dLbl>
              <c:idx val="4"/>
              <c:tx>
                <c:rich>
                  <a:bodyPr/>
                  <a:lstStyle/>
                  <a:p>
                    <a:fld id="{4D38AB9A-7C33-4C96-9DBF-9B6787C10F0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75F-47E9-9661-163A2FF19FEB}"/>
                </c:ext>
              </c:extLst>
            </c:dLbl>
            <c:dLbl>
              <c:idx val="5"/>
              <c:tx>
                <c:rich>
                  <a:bodyPr/>
                  <a:lstStyle/>
                  <a:p>
                    <a:fld id="{6ACC2DD7-DC25-4082-84AF-1C8A30E33CB5}"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75F-47E9-9661-163A2FF19FEB}"/>
                </c:ext>
              </c:extLst>
            </c:dLbl>
            <c:dLbl>
              <c:idx val="6"/>
              <c:tx>
                <c:rich>
                  <a:bodyPr/>
                  <a:lstStyle/>
                  <a:p>
                    <a:fld id="{FA754F41-BE74-42E6-9B31-C32A9889A6E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75F-47E9-9661-163A2FF19FEB}"/>
                </c:ext>
              </c:extLst>
            </c:dLbl>
            <c:dLbl>
              <c:idx val="7"/>
              <c:tx>
                <c:rich>
                  <a:bodyPr/>
                  <a:lstStyle/>
                  <a:p>
                    <a:fld id="{28F6D97F-C262-4660-BBFF-C45ACC1E254E}"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75F-47E9-9661-163A2FF19FEB}"/>
                </c:ext>
              </c:extLst>
            </c:dLbl>
            <c:dLbl>
              <c:idx val="8"/>
              <c:tx>
                <c:rich>
                  <a:bodyPr/>
                  <a:lstStyle/>
                  <a:p>
                    <a:fld id="{85BB910B-23EB-4064-84A5-C032BE042BE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75F-47E9-9661-163A2FF19FEB}"/>
                </c:ext>
              </c:extLst>
            </c:dLbl>
            <c:dLbl>
              <c:idx val="9"/>
              <c:tx>
                <c:rich>
                  <a:bodyPr/>
                  <a:lstStyle/>
                  <a:p>
                    <a:fld id="{2B232BB4-5582-470E-ADDB-34573B17A9DA}"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75F-47E9-9661-163A2FF19FEB}"/>
                </c:ext>
              </c:extLst>
            </c:dLbl>
            <c:dLbl>
              <c:idx val="10"/>
              <c:tx>
                <c:rich>
                  <a:bodyPr/>
                  <a:lstStyle/>
                  <a:p>
                    <a:fld id="{8DCFA5C5-2A43-4AE0-BF38-26A6652BA9B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75F-47E9-9661-163A2FF19FEB}"/>
                </c:ext>
              </c:extLst>
            </c:dLbl>
            <c:dLbl>
              <c:idx val="11"/>
              <c:tx>
                <c:rich>
                  <a:bodyPr/>
                  <a:lstStyle/>
                  <a:p>
                    <a:fld id="{93E5A865-D2E7-49AC-8BB7-8218F833AF4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B1E-4759-ABF7-E128992F56BB}"/>
                </c:ext>
              </c:extLst>
            </c:dLbl>
            <c:dLbl>
              <c:idx val="12"/>
              <c:tx>
                <c:rich>
                  <a:bodyPr/>
                  <a:lstStyle/>
                  <a:p>
                    <a:fld id="{4AE5581A-42DE-41CB-85ED-BB036B66032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B1E-4759-ABF7-E128992F56BB}"/>
                </c:ext>
              </c:extLst>
            </c:dLbl>
            <c:dLbl>
              <c:idx val="13"/>
              <c:tx>
                <c:rich>
                  <a:bodyPr/>
                  <a:lstStyle/>
                  <a:p>
                    <a:fld id="{1333E0F5-5B2F-4416-AABF-7C6AFF49120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B1E-4759-ABF7-E128992F56BB}"/>
                </c:ext>
              </c:extLst>
            </c:dLbl>
            <c:dLbl>
              <c:idx val="14"/>
              <c:tx>
                <c:rich>
                  <a:bodyPr/>
                  <a:lstStyle/>
                  <a:p>
                    <a:fld id="{E9FE875D-9641-45AC-B6FA-E5C46CF32293}"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B1E-4759-ABF7-E128992F56BB}"/>
                </c:ext>
              </c:extLst>
            </c:dLbl>
            <c:dLbl>
              <c:idx val="15"/>
              <c:tx>
                <c:rich>
                  <a:bodyPr/>
                  <a:lstStyle/>
                  <a:p>
                    <a:fld id="{58284FFE-5155-45F8-8CC3-831A4EE54DBC}"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B1E-4759-ABF7-E128992F56BB}"/>
                </c:ext>
              </c:extLst>
            </c:dLbl>
            <c:dLbl>
              <c:idx val="1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5B1E-4759-ABF7-E128992F56BB}"/>
                </c:ext>
              </c:extLst>
            </c:dLbl>
            <c:dLbl>
              <c:idx val="1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437-4AB2-A7CB-2C04ABF41ACE}"/>
                </c:ext>
              </c:extLst>
            </c:dLbl>
            <c:spPr>
              <a:solidFill>
                <a:schemeClr val="bg1">
                  <a:alpha val="6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errBars>
            <c:errDir val="x"/>
            <c:errBarType val="both"/>
            <c:errValType val="stdErr"/>
            <c:noEndCap val="1"/>
            <c:spPr>
              <a:noFill/>
              <a:ln w="152400" cap="flat" cmpd="sng" algn="ctr">
                <a:solidFill>
                  <a:schemeClr val="accent1"/>
                </a:solidFill>
                <a:round/>
              </a:ln>
              <a:effectLst/>
            </c:spPr>
          </c:errBars>
          <c:errBars>
            <c:errDir val="y"/>
            <c:errBarType val="both"/>
            <c:errValType val="stdErr"/>
            <c:noEndCap val="1"/>
            <c:spPr>
              <a:noFill/>
              <a:ln w="12700" cap="flat" cmpd="sng" algn="ctr">
                <a:solidFill>
                  <a:schemeClr val="accent1">
                    <a:lumMod val="75000"/>
                    <a:alpha val="70000"/>
                  </a:schemeClr>
                </a:solidFill>
                <a:prstDash val="solid"/>
                <a:round/>
              </a:ln>
              <a:effectLst/>
            </c:spPr>
          </c:errBars>
          <c:xVal>
            <c:numRef>
              <c:f>Timeline!$B$38:$B$55</c:f>
              <c:numCache>
                <c:formatCode>m/d/yyyy</c:formatCode>
                <c:ptCount val="18"/>
                <c:pt idx="1">
                  <c:v>45658</c:v>
                </c:pt>
                <c:pt idx="2">
                  <c:v>45762</c:v>
                </c:pt>
                <c:pt idx="3">
                  <c:v>45778</c:v>
                </c:pt>
                <c:pt idx="4">
                  <c:v>45778</c:v>
                </c:pt>
                <c:pt idx="5">
                  <c:v>45809</c:v>
                </c:pt>
                <c:pt idx="6">
                  <c:v>45870</c:v>
                </c:pt>
                <c:pt idx="7">
                  <c:v>45962</c:v>
                </c:pt>
                <c:pt idx="8">
                  <c:v>45992</c:v>
                </c:pt>
                <c:pt idx="9">
                  <c:v>46023</c:v>
                </c:pt>
                <c:pt idx="10">
                  <c:v>46113</c:v>
                </c:pt>
                <c:pt idx="11">
                  <c:v>46143</c:v>
                </c:pt>
                <c:pt idx="12">
                  <c:v>46143</c:v>
                </c:pt>
                <c:pt idx="13">
                  <c:v>46185</c:v>
                </c:pt>
                <c:pt idx="14">
                  <c:v>46204</c:v>
                </c:pt>
                <c:pt idx="15">
                  <c:v>46235</c:v>
                </c:pt>
              </c:numCache>
            </c:numRef>
          </c:xVal>
          <c:yVal>
            <c:numRef>
              <c:f>Timeline!$F$38:$F$55</c:f>
              <c:numCache>
                <c:formatCode>General</c:formatCode>
                <c:ptCount val="18"/>
                <c:pt idx="1">
                  <c:v>50</c:v>
                </c:pt>
                <c:pt idx="2">
                  <c:v>35</c:v>
                </c:pt>
                <c:pt idx="3">
                  <c:v>25</c:v>
                </c:pt>
                <c:pt idx="4">
                  <c:v>15</c:v>
                </c:pt>
                <c:pt idx="5">
                  <c:v>5</c:v>
                </c:pt>
                <c:pt idx="6">
                  <c:v>0</c:v>
                </c:pt>
                <c:pt idx="7">
                  <c:v>-10</c:v>
                </c:pt>
                <c:pt idx="8">
                  <c:v>-15</c:v>
                </c:pt>
                <c:pt idx="9">
                  <c:v>-20</c:v>
                </c:pt>
                <c:pt idx="10">
                  <c:v>-35</c:v>
                </c:pt>
                <c:pt idx="11">
                  <c:v>-45</c:v>
                </c:pt>
                <c:pt idx="12">
                  <c:v>-50</c:v>
                </c:pt>
                <c:pt idx="13">
                  <c:v>-60</c:v>
                </c:pt>
                <c:pt idx="14">
                  <c:v>-70</c:v>
                </c:pt>
                <c:pt idx="15">
                  <c:v>-80</c:v>
                </c:pt>
              </c:numCache>
            </c:numRef>
          </c:yVal>
          <c:smooth val="0"/>
          <c:extLst>
            <c:ext xmlns:c15="http://schemas.microsoft.com/office/drawing/2012/chart" uri="{02D57815-91ED-43cb-92C2-25804820EDAC}">
              <c15:datalabelsRange>
                <c15:f>Timeline!$E$38:$E$55</c15:f>
                <c15:dlblRangeCache>
                  <c:ptCount val="18"/>
                  <c:pt idx="1">
                    <c:v>Planning</c:v>
                  </c:pt>
                  <c:pt idx="2">
                    <c:v>Onboard Resources</c:v>
                  </c:pt>
                  <c:pt idx="3">
                    <c:v>Project Kickoff</c:v>
                  </c:pt>
                  <c:pt idx="4">
                    <c:v>Assessment</c:v>
                  </c:pt>
                  <c:pt idx="5">
                    <c:v>Discovery</c:v>
                  </c:pt>
                  <c:pt idx="6">
                    <c:v>Design &amp; Build</c:v>
                  </c:pt>
                  <c:pt idx="7">
                    <c:v>EUAT</c:v>
                  </c:pt>
                  <c:pt idx="8">
                    <c:v>Intergrated Testing</c:v>
                  </c:pt>
                  <c:pt idx="9">
                    <c:v>Hardware</c:v>
                  </c:pt>
                  <c:pt idx="10">
                    <c:v>Training</c:v>
                  </c:pt>
                  <c:pt idx="11">
                    <c:v>Dry Run</c:v>
                  </c:pt>
                  <c:pt idx="12">
                    <c:v>Scheduleing Go-Live</c:v>
                  </c:pt>
                  <c:pt idx="13">
                    <c:v>Cut Over</c:v>
                  </c:pt>
                  <c:pt idx="14">
                    <c:v>Go-Live</c:v>
                  </c:pt>
                  <c:pt idx="15">
                    <c:v>Support</c:v>
                  </c:pt>
                  <c:pt idx="17">
                    <c:v>Insert new rows above this one</c:v>
                  </c:pt>
                </c15:dlblRangeCache>
              </c15:datalabelsRange>
            </c:ext>
            <c:ext xmlns:c16="http://schemas.microsoft.com/office/drawing/2014/chart" uri="{C3380CC4-5D6E-409C-BE32-E72D297353CC}">
              <c16:uniqueId val="{00000007-D75F-47E9-9661-163A2FF19FEB}"/>
            </c:ext>
          </c:extLst>
        </c:ser>
        <c:ser>
          <c:idx val="0"/>
          <c:order val="1"/>
          <c:tx>
            <c:v>Milestones</c:v>
          </c:tx>
          <c:spPr>
            <a:ln w="25400" cap="rnd">
              <a:noFill/>
              <a:round/>
            </a:ln>
            <a:effectLst/>
          </c:spPr>
          <c:marker>
            <c:symbol val="diamond"/>
            <c:size val="14"/>
            <c:spPr>
              <a:solidFill>
                <a:schemeClr val="tx1"/>
              </a:solidFill>
              <a:ln w="9525">
                <a:noFill/>
              </a:ln>
              <a:effectLst/>
            </c:spPr>
          </c:marker>
          <c:dPt>
            <c:idx val="0"/>
            <c:marker>
              <c:spPr>
                <a:solidFill>
                  <a:schemeClr val="accent6">
                    <a:lumMod val="75000"/>
                  </a:schemeClr>
                </a:solidFill>
                <a:ln w="9525">
                  <a:noFill/>
                </a:ln>
                <a:effectLst/>
              </c:spPr>
            </c:marker>
            <c:bubble3D val="0"/>
            <c:extLst>
              <c:ext xmlns:c16="http://schemas.microsoft.com/office/drawing/2014/chart" uri="{C3380CC4-5D6E-409C-BE32-E72D297353CC}">
                <c16:uniqueId val="{00000001-D75F-47E9-9661-163A2FF19FEB}"/>
              </c:ext>
            </c:extLst>
          </c:dPt>
          <c:dPt>
            <c:idx val="1"/>
            <c:marker>
              <c:symbol val="circle"/>
              <c:size val="14"/>
              <c:spPr>
                <a:solidFill>
                  <a:srgbClr val="00B050"/>
                </a:solidFill>
                <a:ln w="9525">
                  <a:noFill/>
                </a:ln>
                <a:effectLst/>
              </c:spPr>
            </c:marker>
            <c:bubble3D val="0"/>
            <c:extLst>
              <c:ext xmlns:c16="http://schemas.microsoft.com/office/drawing/2014/chart" uri="{C3380CC4-5D6E-409C-BE32-E72D297353CC}">
                <c16:uniqueId val="{00000002-D75F-47E9-9661-163A2FF19FEB}"/>
              </c:ext>
            </c:extLst>
          </c:dPt>
          <c:dPt>
            <c:idx val="4"/>
            <c:marker>
              <c:symbol val="picture"/>
              <c:spPr>
                <a:blipFill>
                  <a:blip xmlns:r="http://schemas.openxmlformats.org/officeDocument/2006/relationships" r:embed="rId1"/>
                  <a:stretch>
                    <a:fillRect/>
                  </a:stretch>
                </a:blipFill>
                <a:ln w="9525">
                  <a:noFill/>
                </a:ln>
                <a:effectLst/>
              </c:spPr>
            </c:marker>
            <c:bubble3D val="0"/>
            <c:extLst>
              <c:ext xmlns:c16="http://schemas.microsoft.com/office/drawing/2014/chart" uri="{C3380CC4-5D6E-409C-BE32-E72D297353CC}">
                <c16:uniqueId val="{00000005-D75F-47E9-9661-163A2FF19FEB}"/>
              </c:ext>
            </c:extLst>
          </c:dPt>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75F-47E9-9661-163A2FF19FEB}"/>
                </c:ext>
              </c:extLst>
            </c:dLbl>
            <c:dLbl>
              <c:idx val="1"/>
              <c:tx>
                <c:rich>
                  <a:bodyPr/>
                  <a:lstStyle/>
                  <a:p>
                    <a:fld id="{111CE320-5ED3-4307-B691-03746FD4114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75F-47E9-9661-163A2FF19FEB}"/>
                </c:ext>
              </c:extLst>
            </c:dLbl>
            <c:dLbl>
              <c:idx val="2"/>
              <c:tx>
                <c:rich>
                  <a:bodyPr/>
                  <a:lstStyle/>
                  <a:p>
                    <a:fld id="{DE705BEC-D687-4C15-A6F6-F054445F13D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75F-47E9-9661-163A2FF19FEB}"/>
                </c:ext>
              </c:extLst>
            </c:dLbl>
            <c:dLbl>
              <c:idx val="3"/>
              <c:tx>
                <c:rich>
                  <a:bodyPr/>
                  <a:lstStyle/>
                  <a:p>
                    <a:fld id="{A37760DE-2DEE-4134-BB32-077857FA7A4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75F-47E9-9661-163A2FF19FEB}"/>
                </c:ext>
              </c:extLst>
            </c:dLbl>
            <c:dLbl>
              <c:idx val="4"/>
              <c:tx>
                <c:rich>
                  <a:bodyPr/>
                  <a:lstStyle/>
                  <a:p>
                    <a:fld id="{69A2796A-F815-43DB-BC07-DB7BDF60F5E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75F-47E9-9661-163A2FF19FEB}"/>
                </c:ext>
              </c:extLst>
            </c:dLbl>
            <c:dLbl>
              <c:idx val="5"/>
              <c:tx>
                <c:rich>
                  <a:bodyPr/>
                  <a:lstStyle/>
                  <a:p>
                    <a:fld id="{BFA7620E-756B-428F-95B0-0AF63E0429A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EF8-4134-955B-52DF741E0001}"/>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5B1E-4759-ABF7-E128992F56BB}"/>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5B1E-4759-ABF7-E128992F56BB}"/>
                </c:ext>
              </c:extLst>
            </c:dLbl>
            <c:dLbl>
              <c:idx val="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437-4AB2-A7CB-2C04ABF41ACE}"/>
                </c:ext>
              </c:extLst>
            </c:dLbl>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1"/>
            <c:spPr>
              <a:noFill/>
              <a:ln w="12700" cap="flat" cmpd="sng" algn="ctr">
                <a:solidFill>
                  <a:schemeClr val="tx1">
                    <a:lumMod val="75000"/>
                    <a:lumOff val="25000"/>
                  </a:schemeClr>
                </a:solidFill>
                <a:prstDash val="dash"/>
                <a:round/>
              </a:ln>
              <a:effectLst/>
            </c:spPr>
          </c:errBars>
          <c:errBars>
            <c:errDir val="x"/>
            <c:errBarType val="both"/>
            <c:errValType val="stdErr"/>
            <c:noEndCap val="0"/>
          </c:errBars>
          <c:xVal>
            <c:numRef>
              <c:f>Timeline!$B$59:$B$67</c:f>
              <c:numCache>
                <c:formatCode>m/d/yyyy</c:formatCode>
                <c:ptCount val="9"/>
                <c:pt idx="1">
                  <c:v>45658</c:v>
                </c:pt>
                <c:pt idx="2">
                  <c:v>45748</c:v>
                </c:pt>
                <c:pt idx="3">
                  <c:v>45839</c:v>
                </c:pt>
                <c:pt idx="4">
                  <c:v>45931</c:v>
                </c:pt>
                <c:pt idx="5">
                  <c:v>46023</c:v>
                </c:pt>
              </c:numCache>
            </c:numRef>
          </c:xVal>
          <c:yVal>
            <c:numRef>
              <c:f>Timeline!$F$59:$F$67</c:f>
              <c:numCache>
                <c:formatCode>General</c:formatCode>
                <c:ptCount val="9"/>
                <c:pt idx="1">
                  <c:v>50</c:v>
                </c:pt>
                <c:pt idx="2">
                  <c:v>50</c:v>
                </c:pt>
                <c:pt idx="3">
                  <c:v>50</c:v>
                </c:pt>
                <c:pt idx="4">
                  <c:v>50</c:v>
                </c:pt>
                <c:pt idx="5">
                  <c:v>50</c:v>
                </c:pt>
              </c:numCache>
            </c:numRef>
          </c:yVal>
          <c:smooth val="0"/>
          <c:extLst>
            <c:ext xmlns:c15="http://schemas.microsoft.com/office/drawing/2012/chart" uri="{02D57815-91ED-43cb-92C2-25804820EDAC}">
              <c15:datalabelsRange>
                <c15:f>Timeline!$E$59:$E$67</c15:f>
                <c15:dlblRangeCache>
                  <c:ptCount val="9"/>
                  <c:pt idx="1">
                    <c:v>Start, Jan 1</c:v>
                  </c:pt>
                  <c:pt idx="2">
                    <c:v>April #1</c:v>
                  </c:pt>
                  <c:pt idx="3">
                    <c:v>July #2</c:v>
                  </c:pt>
                  <c:pt idx="4">
                    <c:v>Oct #3</c:v>
                  </c:pt>
                  <c:pt idx="5">
                    <c:v>Go-Live</c:v>
                  </c:pt>
                  <c:pt idx="8">
                    <c:v>Insert new rows above this one</c:v>
                  </c:pt>
                </c15:dlblRangeCache>
              </c15:datalabelsRange>
            </c:ext>
            <c:ext xmlns:c16="http://schemas.microsoft.com/office/drawing/2014/chart" uri="{C3380CC4-5D6E-409C-BE32-E72D297353CC}">
              <c16:uniqueId val="{00000000-D75F-47E9-9661-163A2FF19FEB}"/>
            </c:ext>
          </c:extLst>
        </c:ser>
        <c:dLbls>
          <c:showLegendKey val="0"/>
          <c:showVal val="0"/>
          <c:showCatName val="0"/>
          <c:showSerName val="0"/>
          <c:showPercent val="0"/>
          <c:showBubbleSize val="0"/>
        </c:dLbls>
        <c:axId val="484833240"/>
        <c:axId val="484834552"/>
      </c:scatterChart>
      <c:valAx>
        <c:axId val="484833240"/>
        <c:scaling>
          <c:orientation val="minMax"/>
        </c:scaling>
        <c:delete val="0"/>
        <c:axPos val="b"/>
        <c:majorGridlines/>
        <c:numFmt formatCode="[$-409]mmmmm\-yy;@" sourceLinked="0"/>
        <c:majorTickMark val="none"/>
        <c:minorTickMark val="none"/>
        <c:tickLblPos val="none"/>
        <c:spPr>
          <a:noFill/>
          <a:ln w="63500" cap="flat" cmpd="sng" algn="ctr">
            <a:solidFill>
              <a:schemeClr val="bg1">
                <a:lumMod val="75000"/>
              </a:schemeClr>
            </a:solidFill>
            <a:round/>
          </a:ln>
          <a:effectLst/>
        </c:spPr>
        <c:txPr>
          <a:bodyPr rot="-60000000" spcFirstLastPara="1" vertOverflow="ellipsis" vert="horz" wrap="square" anchor="ctr" anchorCtr="1"/>
          <a:lstStyle/>
          <a:p>
            <a:pPr>
              <a:defRPr sz="1200" b="1" i="0" u="none" strike="noStrike" kern="1200" baseline="0">
                <a:ln>
                  <a:noFill/>
                </a:ln>
                <a:noFill/>
                <a:latin typeface="+mn-lt"/>
                <a:ea typeface="+mn-ea"/>
                <a:cs typeface="+mn-cs"/>
              </a:defRPr>
            </a:pPr>
            <a:endParaRPr lang="en-US"/>
          </a:p>
        </c:txPr>
        <c:crossAx val="484834552"/>
        <c:crosses val="autoZero"/>
        <c:crossBetween val="midCat"/>
      </c:valAx>
      <c:valAx>
        <c:axId val="484834552"/>
        <c:scaling>
          <c:orientation val="minMax"/>
          <c:max val="50"/>
          <c:min val="-100"/>
        </c:scaling>
        <c:delete val="1"/>
        <c:axPos val="l"/>
        <c:numFmt formatCode="General" sourceLinked="1"/>
        <c:majorTickMark val="out"/>
        <c:minorTickMark val="none"/>
        <c:tickLblPos val="nextTo"/>
        <c:crossAx val="484833240"/>
        <c:crosses val="autoZero"/>
        <c:crossBetween val="midCat"/>
        <c:majorUnit val="25"/>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diagrams/colors1.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CD59699-1BCB-4BD5-BBBE-9CC215679D9D}" type="doc">
      <dgm:prSet loTypeId="urn:microsoft.com/office/officeart/2005/8/layout/hChevron3" loCatId="process" qsTypeId="urn:microsoft.com/office/officeart/2005/8/quickstyle/simple1" qsCatId="simple" csTypeId="urn:microsoft.com/office/officeart/2005/8/colors/colorful1" csCatId="colorful" phldr="1"/>
      <dgm:spPr/>
    </dgm:pt>
    <dgm:pt modelId="{D4A49FEE-5746-4A39-B523-6A7AE3D8F316}">
      <dgm:prSet phldrT="[Text]"/>
      <dgm:spPr/>
      <dgm:t>
        <a:bodyPr/>
        <a:lstStyle/>
        <a:p>
          <a:r>
            <a:rPr lang="en-CA"/>
            <a:t>Inventory Applications</a:t>
          </a:r>
        </a:p>
      </dgm:t>
    </dgm:pt>
    <dgm:pt modelId="{5ACA8783-A545-4E1D-BFD2-D639A7ED7373}" type="parTrans" cxnId="{1DA783E7-621C-42EE-A653-92BCFBC09337}">
      <dgm:prSet/>
      <dgm:spPr/>
      <dgm:t>
        <a:bodyPr/>
        <a:lstStyle/>
        <a:p>
          <a:endParaRPr lang="en-CA"/>
        </a:p>
      </dgm:t>
    </dgm:pt>
    <dgm:pt modelId="{74C54394-AA23-4C5C-84F4-3413CA3DAEEE}" type="sibTrans" cxnId="{1DA783E7-621C-42EE-A653-92BCFBC09337}">
      <dgm:prSet/>
      <dgm:spPr/>
      <dgm:t>
        <a:bodyPr/>
        <a:lstStyle/>
        <a:p>
          <a:endParaRPr lang="en-CA"/>
        </a:p>
      </dgm:t>
    </dgm:pt>
    <dgm:pt modelId="{EEF9C417-0464-469F-BB8E-F765EFEA98E3}">
      <dgm:prSet phldrT="[Text]"/>
      <dgm:spPr/>
      <dgm:t>
        <a:bodyPr/>
        <a:lstStyle/>
        <a:p>
          <a:r>
            <a:rPr lang="en-CA"/>
            <a:t>Assess Business Value, Technical Fit, and TCO</a:t>
          </a:r>
        </a:p>
      </dgm:t>
    </dgm:pt>
    <dgm:pt modelId="{67E72678-E7F1-422E-B446-153D1447F571}" type="parTrans" cxnId="{2CDCC564-1B52-4AFC-83E3-6A023DD0A1C9}">
      <dgm:prSet/>
      <dgm:spPr/>
      <dgm:t>
        <a:bodyPr/>
        <a:lstStyle/>
        <a:p>
          <a:endParaRPr lang="en-CA"/>
        </a:p>
      </dgm:t>
    </dgm:pt>
    <dgm:pt modelId="{D21D2787-0E53-42EA-B879-A21EBBC06783}" type="sibTrans" cxnId="{2CDCC564-1B52-4AFC-83E3-6A023DD0A1C9}">
      <dgm:prSet/>
      <dgm:spPr/>
      <dgm:t>
        <a:bodyPr/>
        <a:lstStyle/>
        <a:p>
          <a:endParaRPr lang="en-CA"/>
        </a:p>
      </dgm:t>
    </dgm:pt>
    <dgm:pt modelId="{0D8E71B1-50A8-464A-8311-1614014B15F0}">
      <dgm:prSet phldrT="[Text]"/>
      <dgm:spPr/>
      <dgm:t>
        <a:bodyPr/>
        <a:lstStyle/>
        <a:p>
          <a:r>
            <a:rPr lang="en-CA"/>
            <a:t>Determine Application Categories</a:t>
          </a:r>
        </a:p>
      </dgm:t>
    </dgm:pt>
    <dgm:pt modelId="{0171149E-F340-44E9-B377-DDB283509A75}" type="parTrans" cxnId="{ADC32A68-B659-45B4-B961-2820DBFEC2D1}">
      <dgm:prSet/>
      <dgm:spPr/>
      <dgm:t>
        <a:bodyPr/>
        <a:lstStyle/>
        <a:p>
          <a:endParaRPr lang="en-CA"/>
        </a:p>
      </dgm:t>
    </dgm:pt>
    <dgm:pt modelId="{0F7CF75D-D3E0-44AE-8B6A-9651620DE6EF}" type="sibTrans" cxnId="{ADC32A68-B659-45B4-B961-2820DBFEC2D1}">
      <dgm:prSet/>
      <dgm:spPr/>
      <dgm:t>
        <a:bodyPr/>
        <a:lstStyle/>
        <a:p>
          <a:endParaRPr lang="en-CA"/>
        </a:p>
      </dgm:t>
    </dgm:pt>
    <dgm:pt modelId="{A89B33AB-692B-4B9A-ABB3-841EA710F90B}">
      <dgm:prSet phldrT="[Text]"/>
      <dgm:spPr/>
      <dgm:t>
        <a:bodyPr/>
        <a:lstStyle/>
        <a:p>
          <a:r>
            <a:rPr lang="en-CA"/>
            <a:t>Establish Application Roadmap</a:t>
          </a:r>
        </a:p>
      </dgm:t>
    </dgm:pt>
    <dgm:pt modelId="{4DFE526E-D531-4812-BCCA-4170BAD6B866}" type="parTrans" cxnId="{46D48250-FB6B-4821-A3CF-453ED5DB3C70}">
      <dgm:prSet/>
      <dgm:spPr/>
      <dgm:t>
        <a:bodyPr/>
        <a:lstStyle/>
        <a:p>
          <a:endParaRPr lang="en-CA"/>
        </a:p>
      </dgm:t>
    </dgm:pt>
    <dgm:pt modelId="{03822C53-9759-41B3-A768-F982E5DD253C}" type="sibTrans" cxnId="{46D48250-FB6B-4821-A3CF-453ED5DB3C70}">
      <dgm:prSet/>
      <dgm:spPr/>
      <dgm:t>
        <a:bodyPr/>
        <a:lstStyle/>
        <a:p>
          <a:endParaRPr lang="en-CA"/>
        </a:p>
      </dgm:t>
    </dgm:pt>
    <dgm:pt modelId="{A9E50900-B9F9-4064-81DC-A08152EB1894}">
      <dgm:prSet phldrT="[Text]"/>
      <dgm:spPr/>
      <dgm:t>
        <a:bodyPr/>
        <a:lstStyle/>
        <a:p>
          <a:r>
            <a:rPr lang="en-CA" dirty="0"/>
            <a:t>Create a team and develop guiding principles</a:t>
          </a:r>
        </a:p>
      </dgm:t>
    </dgm:pt>
    <dgm:pt modelId="{43E8ABFD-FC1F-4A7F-A843-5621E607B694}" type="parTrans" cxnId="{91B6164D-84E4-4B0F-AA7F-F265E2B032ED}">
      <dgm:prSet/>
      <dgm:spPr/>
      <dgm:t>
        <a:bodyPr/>
        <a:lstStyle/>
        <a:p>
          <a:endParaRPr lang="en-CA"/>
        </a:p>
      </dgm:t>
    </dgm:pt>
    <dgm:pt modelId="{BD177EE3-37A4-4809-A865-4F51705EC911}" type="sibTrans" cxnId="{91B6164D-84E4-4B0F-AA7F-F265E2B032ED}">
      <dgm:prSet/>
      <dgm:spPr/>
      <dgm:t>
        <a:bodyPr/>
        <a:lstStyle/>
        <a:p>
          <a:endParaRPr lang="en-CA"/>
        </a:p>
      </dgm:t>
    </dgm:pt>
    <dgm:pt modelId="{CDCE77C7-86DC-426B-8E6E-DDC72CFF8AB2}" type="pres">
      <dgm:prSet presAssocID="{ACD59699-1BCB-4BD5-BBBE-9CC215679D9D}" presName="Name0" presStyleCnt="0">
        <dgm:presLayoutVars>
          <dgm:dir/>
          <dgm:resizeHandles val="exact"/>
        </dgm:presLayoutVars>
      </dgm:prSet>
      <dgm:spPr/>
    </dgm:pt>
    <dgm:pt modelId="{23F4A975-17BC-40D6-92A7-83D3E19455D1}" type="pres">
      <dgm:prSet presAssocID="{A9E50900-B9F9-4064-81DC-A08152EB1894}" presName="parTxOnly" presStyleLbl="node1" presStyleIdx="0" presStyleCnt="5">
        <dgm:presLayoutVars>
          <dgm:bulletEnabled val="1"/>
        </dgm:presLayoutVars>
      </dgm:prSet>
      <dgm:spPr/>
    </dgm:pt>
    <dgm:pt modelId="{8346F6F8-FE55-4D34-94D4-F8AFDB23E1F9}" type="pres">
      <dgm:prSet presAssocID="{BD177EE3-37A4-4809-A865-4F51705EC911}" presName="parSpace" presStyleCnt="0"/>
      <dgm:spPr/>
    </dgm:pt>
    <dgm:pt modelId="{653924A1-FD4A-45CF-AB29-30E8C03D30C4}" type="pres">
      <dgm:prSet presAssocID="{D4A49FEE-5746-4A39-B523-6A7AE3D8F316}" presName="parTxOnly" presStyleLbl="node1" presStyleIdx="1" presStyleCnt="5">
        <dgm:presLayoutVars>
          <dgm:bulletEnabled val="1"/>
        </dgm:presLayoutVars>
      </dgm:prSet>
      <dgm:spPr/>
    </dgm:pt>
    <dgm:pt modelId="{C53FA266-B4D2-401D-8FA5-37214751FBDA}" type="pres">
      <dgm:prSet presAssocID="{74C54394-AA23-4C5C-84F4-3413CA3DAEEE}" presName="parSpace" presStyleCnt="0"/>
      <dgm:spPr/>
    </dgm:pt>
    <dgm:pt modelId="{56FD2FA2-1F19-4F19-B261-8BF8F7BEFEBE}" type="pres">
      <dgm:prSet presAssocID="{EEF9C417-0464-469F-BB8E-F765EFEA98E3}" presName="parTxOnly" presStyleLbl="node1" presStyleIdx="2" presStyleCnt="5">
        <dgm:presLayoutVars>
          <dgm:bulletEnabled val="1"/>
        </dgm:presLayoutVars>
      </dgm:prSet>
      <dgm:spPr/>
    </dgm:pt>
    <dgm:pt modelId="{A487645C-359D-4703-9719-BACDFFB4A7F6}" type="pres">
      <dgm:prSet presAssocID="{D21D2787-0E53-42EA-B879-A21EBBC06783}" presName="parSpace" presStyleCnt="0"/>
      <dgm:spPr/>
    </dgm:pt>
    <dgm:pt modelId="{7D4D9D61-F3C0-48F3-BFF3-794842863D1F}" type="pres">
      <dgm:prSet presAssocID="{0D8E71B1-50A8-464A-8311-1614014B15F0}" presName="parTxOnly" presStyleLbl="node1" presStyleIdx="3" presStyleCnt="5">
        <dgm:presLayoutVars>
          <dgm:bulletEnabled val="1"/>
        </dgm:presLayoutVars>
      </dgm:prSet>
      <dgm:spPr/>
    </dgm:pt>
    <dgm:pt modelId="{A8A341E0-48DA-408B-9743-2E608666570F}" type="pres">
      <dgm:prSet presAssocID="{0F7CF75D-D3E0-44AE-8B6A-9651620DE6EF}" presName="parSpace" presStyleCnt="0"/>
      <dgm:spPr/>
    </dgm:pt>
    <dgm:pt modelId="{E9EFFC3C-29C9-4A22-830F-C7C26C3E2EA9}" type="pres">
      <dgm:prSet presAssocID="{A89B33AB-692B-4B9A-ABB3-841EA710F90B}" presName="parTxOnly" presStyleLbl="node1" presStyleIdx="4" presStyleCnt="5">
        <dgm:presLayoutVars>
          <dgm:bulletEnabled val="1"/>
        </dgm:presLayoutVars>
      </dgm:prSet>
      <dgm:spPr/>
    </dgm:pt>
  </dgm:ptLst>
  <dgm:cxnLst>
    <dgm:cxn modelId="{643D9D07-E09B-4311-8AC4-464E10D3AF80}" type="presOf" srcId="{0D8E71B1-50A8-464A-8311-1614014B15F0}" destId="{7D4D9D61-F3C0-48F3-BFF3-794842863D1F}" srcOrd="0" destOrd="0" presId="urn:microsoft.com/office/officeart/2005/8/layout/hChevron3"/>
    <dgm:cxn modelId="{190B7433-A1AA-4914-9999-EC57756D27C5}" type="presOf" srcId="{A89B33AB-692B-4B9A-ABB3-841EA710F90B}" destId="{E9EFFC3C-29C9-4A22-830F-C7C26C3E2EA9}" srcOrd="0" destOrd="0" presId="urn:microsoft.com/office/officeart/2005/8/layout/hChevron3"/>
    <dgm:cxn modelId="{2CDCC564-1B52-4AFC-83E3-6A023DD0A1C9}" srcId="{ACD59699-1BCB-4BD5-BBBE-9CC215679D9D}" destId="{EEF9C417-0464-469F-BB8E-F765EFEA98E3}" srcOrd="2" destOrd="0" parTransId="{67E72678-E7F1-422E-B446-153D1447F571}" sibTransId="{D21D2787-0E53-42EA-B879-A21EBBC06783}"/>
    <dgm:cxn modelId="{ADC32A68-B659-45B4-B961-2820DBFEC2D1}" srcId="{ACD59699-1BCB-4BD5-BBBE-9CC215679D9D}" destId="{0D8E71B1-50A8-464A-8311-1614014B15F0}" srcOrd="3" destOrd="0" parTransId="{0171149E-F340-44E9-B377-DDB283509A75}" sibTransId="{0F7CF75D-D3E0-44AE-8B6A-9651620DE6EF}"/>
    <dgm:cxn modelId="{91B6164D-84E4-4B0F-AA7F-F265E2B032ED}" srcId="{ACD59699-1BCB-4BD5-BBBE-9CC215679D9D}" destId="{A9E50900-B9F9-4064-81DC-A08152EB1894}" srcOrd="0" destOrd="0" parTransId="{43E8ABFD-FC1F-4A7F-A843-5621E607B694}" sibTransId="{BD177EE3-37A4-4809-A865-4F51705EC911}"/>
    <dgm:cxn modelId="{46D48250-FB6B-4821-A3CF-453ED5DB3C70}" srcId="{ACD59699-1BCB-4BD5-BBBE-9CC215679D9D}" destId="{A89B33AB-692B-4B9A-ABB3-841EA710F90B}" srcOrd="4" destOrd="0" parTransId="{4DFE526E-D531-4812-BCCA-4170BAD6B866}" sibTransId="{03822C53-9759-41B3-A768-F982E5DD253C}"/>
    <dgm:cxn modelId="{AA21D281-6BFF-41C8-B2DF-FA684CCE5934}" type="presOf" srcId="{EEF9C417-0464-469F-BB8E-F765EFEA98E3}" destId="{56FD2FA2-1F19-4F19-B261-8BF8F7BEFEBE}" srcOrd="0" destOrd="0" presId="urn:microsoft.com/office/officeart/2005/8/layout/hChevron3"/>
    <dgm:cxn modelId="{BADADBC3-1B99-467F-B420-85886C4DE3A7}" type="presOf" srcId="{A9E50900-B9F9-4064-81DC-A08152EB1894}" destId="{23F4A975-17BC-40D6-92A7-83D3E19455D1}" srcOrd="0" destOrd="0" presId="urn:microsoft.com/office/officeart/2005/8/layout/hChevron3"/>
    <dgm:cxn modelId="{1DA783E7-621C-42EE-A653-92BCFBC09337}" srcId="{ACD59699-1BCB-4BD5-BBBE-9CC215679D9D}" destId="{D4A49FEE-5746-4A39-B523-6A7AE3D8F316}" srcOrd="1" destOrd="0" parTransId="{5ACA8783-A545-4E1D-BFD2-D639A7ED7373}" sibTransId="{74C54394-AA23-4C5C-84F4-3413CA3DAEEE}"/>
    <dgm:cxn modelId="{DF42DFF8-DC65-4CA1-999F-2742971D3702}" type="presOf" srcId="{ACD59699-1BCB-4BD5-BBBE-9CC215679D9D}" destId="{CDCE77C7-86DC-426B-8E6E-DDC72CFF8AB2}" srcOrd="0" destOrd="0" presId="urn:microsoft.com/office/officeart/2005/8/layout/hChevron3"/>
    <dgm:cxn modelId="{9707E2FF-02AA-4A17-9F53-5CCA103AF2B7}" type="presOf" srcId="{D4A49FEE-5746-4A39-B523-6A7AE3D8F316}" destId="{653924A1-FD4A-45CF-AB29-30E8C03D30C4}" srcOrd="0" destOrd="0" presId="urn:microsoft.com/office/officeart/2005/8/layout/hChevron3"/>
    <dgm:cxn modelId="{4A0E4020-7718-437A-9F52-EB6828114C05}" type="presParOf" srcId="{CDCE77C7-86DC-426B-8E6E-DDC72CFF8AB2}" destId="{23F4A975-17BC-40D6-92A7-83D3E19455D1}" srcOrd="0" destOrd="0" presId="urn:microsoft.com/office/officeart/2005/8/layout/hChevron3"/>
    <dgm:cxn modelId="{2761D1C7-73F8-419B-8354-DA1DD7DE0EFE}" type="presParOf" srcId="{CDCE77C7-86DC-426B-8E6E-DDC72CFF8AB2}" destId="{8346F6F8-FE55-4D34-94D4-F8AFDB23E1F9}" srcOrd="1" destOrd="0" presId="urn:microsoft.com/office/officeart/2005/8/layout/hChevron3"/>
    <dgm:cxn modelId="{4A1F8162-5887-4CCD-8B5B-85E21EB3ADB7}" type="presParOf" srcId="{CDCE77C7-86DC-426B-8E6E-DDC72CFF8AB2}" destId="{653924A1-FD4A-45CF-AB29-30E8C03D30C4}" srcOrd="2" destOrd="0" presId="urn:microsoft.com/office/officeart/2005/8/layout/hChevron3"/>
    <dgm:cxn modelId="{FBA7606F-1AEE-4B56-9086-4C70483B9BFC}" type="presParOf" srcId="{CDCE77C7-86DC-426B-8E6E-DDC72CFF8AB2}" destId="{C53FA266-B4D2-401D-8FA5-37214751FBDA}" srcOrd="3" destOrd="0" presId="urn:microsoft.com/office/officeart/2005/8/layout/hChevron3"/>
    <dgm:cxn modelId="{421F316B-E5B8-417E-8F1C-E505BA58503B}" type="presParOf" srcId="{CDCE77C7-86DC-426B-8E6E-DDC72CFF8AB2}" destId="{56FD2FA2-1F19-4F19-B261-8BF8F7BEFEBE}" srcOrd="4" destOrd="0" presId="urn:microsoft.com/office/officeart/2005/8/layout/hChevron3"/>
    <dgm:cxn modelId="{56300726-36EC-4BE2-8700-A4F476B3631B}" type="presParOf" srcId="{CDCE77C7-86DC-426B-8E6E-DDC72CFF8AB2}" destId="{A487645C-359D-4703-9719-BACDFFB4A7F6}" srcOrd="5" destOrd="0" presId="urn:microsoft.com/office/officeart/2005/8/layout/hChevron3"/>
    <dgm:cxn modelId="{25DB924B-C569-42C7-B75A-ABADA3B18108}" type="presParOf" srcId="{CDCE77C7-86DC-426B-8E6E-DDC72CFF8AB2}" destId="{7D4D9D61-F3C0-48F3-BFF3-794842863D1F}" srcOrd="6" destOrd="0" presId="urn:microsoft.com/office/officeart/2005/8/layout/hChevron3"/>
    <dgm:cxn modelId="{B1BAAF49-A0DB-475D-952F-DA2D4C3E7E74}" type="presParOf" srcId="{CDCE77C7-86DC-426B-8E6E-DDC72CFF8AB2}" destId="{A8A341E0-48DA-408B-9743-2E608666570F}" srcOrd="7" destOrd="0" presId="urn:microsoft.com/office/officeart/2005/8/layout/hChevron3"/>
    <dgm:cxn modelId="{693C7C78-41B9-4830-AA30-385DD8B45ECF}" type="presParOf" srcId="{CDCE77C7-86DC-426B-8E6E-DDC72CFF8AB2}" destId="{E9EFFC3C-29C9-4A22-830F-C7C26C3E2EA9}" srcOrd="8" destOrd="0" presId="urn:microsoft.com/office/officeart/2005/8/layout/hChevron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ACD59699-1BCB-4BD5-BBBE-9CC215679D9D}" type="doc">
      <dgm:prSet loTypeId="urn:microsoft.com/office/officeart/2005/8/layout/hChevron3" loCatId="process" qsTypeId="urn:microsoft.com/office/officeart/2005/8/quickstyle/simple1" qsCatId="simple" csTypeId="urn:microsoft.com/office/officeart/2005/8/colors/colorful1" csCatId="colorful" phldr="1"/>
      <dgm:spPr/>
    </dgm:pt>
    <dgm:pt modelId="{D4A49FEE-5746-4A39-B523-6A7AE3D8F316}">
      <dgm:prSet phldrT="[Text]" custT="1"/>
      <dgm:spPr/>
      <dgm:t>
        <a:bodyPr/>
        <a:lstStyle/>
        <a:p>
          <a:r>
            <a:rPr lang="en-CA" sz="1800" dirty="0"/>
            <a:t>May-July</a:t>
          </a:r>
        </a:p>
      </dgm:t>
    </dgm:pt>
    <dgm:pt modelId="{5ACA8783-A545-4E1D-BFD2-D639A7ED7373}" type="parTrans" cxnId="{1DA783E7-621C-42EE-A653-92BCFBC09337}">
      <dgm:prSet/>
      <dgm:spPr/>
      <dgm:t>
        <a:bodyPr/>
        <a:lstStyle/>
        <a:p>
          <a:endParaRPr lang="en-CA"/>
        </a:p>
      </dgm:t>
    </dgm:pt>
    <dgm:pt modelId="{74C54394-AA23-4C5C-84F4-3413CA3DAEEE}" type="sibTrans" cxnId="{1DA783E7-621C-42EE-A653-92BCFBC09337}">
      <dgm:prSet/>
      <dgm:spPr/>
      <dgm:t>
        <a:bodyPr/>
        <a:lstStyle/>
        <a:p>
          <a:endParaRPr lang="en-CA"/>
        </a:p>
      </dgm:t>
    </dgm:pt>
    <dgm:pt modelId="{EEF9C417-0464-469F-BB8E-F765EFEA98E3}">
      <dgm:prSet phldrT="[Text]" custT="1"/>
      <dgm:spPr/>
      <dgm:t>
        <a:bodyPr/>
        <a:lstStyle/>
        <a:p>
          <a:r>
            <a:rPr lang="en-CA" sz="1800" dirty="0"/>
            <a:t>June-July</a:t>
          </a:r>
        </a:p>
      </dgm:t>
    </dgm:pt>
    <dgm:pt modelId="{67E72678-E7F1-422E-B446-153D1447F571}" type="parTrans" cxnId="{2CDCC564-1B52-4AFC-83E3-6A023DD0A1C9}">
      <dgm:prSet/>
      <dgm:spPr/>
      <dgm:t>
        <a:bodyPr/>
        <a:lstStyle/>
        <a:p>
          <a:endParaRPr lang="en-CA"/>
        </a:p>
      </dgm:t>
    </dgm:pt>
    <dgm:pt modelId="{D21D2787-0E53-42EA-B879-A21EBBC06783}" type="sibTrans" cxnId="{2CDCC564-1B52-4AFC-83E3-6A023DD0A1C9}">
      <dgm:prSet/>
      <dgm:spPr/>
      <dgm:t>
        <a:bodyPr/>
        <a:lstStyle/>
        <a:p>
          <a:endParaRPr lang="en-CA"/>
        </a:p>
      </dgm:t>
    </dgm:pt>
    <dgm:pt modelId="{0D8E71B1-50A8-464A-8311-1614014B15F0}">
      <dgm:prSet phldrT="[Text]" custT="1"/>
      <dgm:spPr/>
      <dgm:t>
        <a:bodyPr/>
        <a:lstStyle/>
        <a:p>
          <a:r>
            <a:rPr lang="en-CA" sz="1800" dirty="0"/>
            <a:t>July-Sept</a:t>
          </a:r>
        </a:p>
      </dgm:t>
    </dgm:pt>
    <dgm:pt modelId="{0171149E-F340-44E9-B377-DDB283509A75}" type="parTrans" cxnId="{ADC32A68-B659-45B4-B961-2820DBFEC2D1}">
      <dgm:prSet/>
      <dgm:spPr/>
      <dgm:t>
        <a:bodyPr/>
        <a:lstStyle/>
        <a:p>
          <a:endParaRPr lang="en-CA"/>
        </a:p>
      </dgm:t>
    </dgm:pt>
    <dgm:pt modelId="{0F7CF75D-D3E0-44AE-8B6A-9651620DE6EF}" type="sibTrans" cxnId="{ADC32A68-B659-45B4-B961-2820DBFEC2D1}">
      <dgm:prSet/>
      <dgm:spPr/>
      <dgm:t>
        <a:bodyPr/>
        <a:lstStyle/>
        <a:p>
          <a:endParaRPr lang="en-CA"/>
        </a:p>
      </dgm:t>
    </dgm:pt>
    <dgm:pt modelId="{A89B33AB-692B-4B9A-ABB3-841EA710F90B}">
      <dgm:prSet phldrT="[Text]" custT="1"/>
      <dgm:spPr/>
      <dgm:t>
        <a:bodyPr/>
        <a:lstStyle/>
        <a:p>
          <a:r>
            <a:rPr lang="en-CA" sz="1800" dirty="0"/>
            <a:t>Sept-Oct</a:t>
          </a:r>
        </a:p>
      </dgm:t>
    </dgm:pt>
    <dgm:pt modelId="{4DFE526E-D531-4812-BCCA-4170BAD6B866}" type="parTrans" cxnId="{46D48250-FB6B-4821-A3CF-453ED5DB3C70}">
      <dgm:prSet/>
      <dgm:spPr/>
      <dgm:t>
        <a:bodyPr/>
        <a:lstStyle/>
        <a:p>
          <a:endParaRPr lang="en-CA"/>
        </a:p>
      </dgm:t>
    </dgm:pt>
    <dgm:pt modelId="{03822C53-9759-41B3-A768-F982E5DD253C}" type="sibTrans" cxnId="{46D48250-FB6B-4821-A3CF-453ED5DB3C70}">
      <dgm:prSet/>
      <dgm:spPr/>
      <dgm:t>
        <a:bodyPr/>
        <a:lstStyle/>
        <a:p>
          <a:endParaRPr lang="en-CA"/>
        </a:p>
      </dgm:t>
    </dgm:pt>
    <dgm:pt modelId="{A9E50900-B9F9-4064-81DC-A08152EB1894}">
      <dgm:prSet phldrT="[Text]" custT="1"/>
      <dgm:spPr/>
      <dgm:t>
        <a:bodyPr/>
        <a:lstStyle/>
        <a:p>
          <a:r>
            <a:rPr lang="en-CA" sz="1800" dirty="0"/>
            <a:t>May-June</a:t>
          </a:r>
        </a:p>
      </dgm:t>
    </dgm:pt>
    <dgm:pt modelId="{43E8ABFD-FC1F-4A7F-A843-5621E607B694}" type="parTrans" cxnId="{91B6164D-84E4-4B0F-AA7F-F265E2B032ED}">
      <dgm:prSet/>
      <dgm:spPr/>
      <dgm:t>
        <a:bodyPr/>
        <a:lstStyle/>
        <a:p>
          <a:endParaRPr lang="en-CA"/>
        </a:p>
      </dgm:t>
    </dgm:pt>
    <dgm:pt modelId="{BD177EE3-37A4-4809-A865-4F51705EC911}" type="sibTrans" cxnId="{91B6164D-84E4-4B0F-AA7F-F265E2B032ED}">
      <dgm:prSet/>
      <dgm:spPr/>
      <dgm:t>
        <a:bodyPr/>
        <a:lstStyle/>
        <a:p>
          <a:endParaRPr lang="en-CA"/>
        </a:p>
      </dgm:t>
    </dgm:pt>
    <dgm:pt modelId="{CDCE77C7-86DC-426B-8E6E-DDC72CFF8AB2}" type="pres">
      <dgm:prSet presAssocID="{ACD59699-1BCB-4BD5-BBBE-9CC215679D9D}" presName="Name0" presStyleCnt="0">
        <dgm:presLayoutVars>
          <dgm:dir/>
          <dgm:resizeHandles val="exact"/>
        </dgm:presLayoutVars>
      </dgm:prSet>
      <dgm:spPr/>
    </dgm:pt>
    <dgm:pt modelId="{23F4A975-17BC-40D6-92A7-83D3E19455D1}" type="pres">
      <dgm:prSet presAssocID="{A9E50900-B9F9-4064-81DC-A08152EB1894}" presName="parTxOnly" presStyleLbl="node1" presStyleIdx="0" presStyleCnt="5" custScaleX="104097">
        <dgm:presLayoutVars>
          <dgm:bulletEnabled val="1"/>
        </dgm:presLayoutVars>
      </dgm:prSet>
      <dgm:spPr/>
    </dgm:pt>
    <dgm:pt modelId="{8346F6F8-FE55-4D34-94D4-F8AFDB23E1F9}" type="pres">
      <dgm:prSet presAssocID="{BD177EE3-37A4-4809-A865-4F51705EC911}" presName="parSpace" presStyleCnt="0"/>
      <dgm:spPr/>
    </dgm:pt>
    <dgm:pt modelId="{653924A1-FD4A-45CF-AB29-30E8C03D30C4}" type="pres">
      <dgm:prSet presAssocID="{D4A49FEE-5746-4A39-B523-6A7AE3D8F316}" presName="parTxOnly" presStyleLbl="node1" presStyleIdx="1" presStyleCnt="5">
        <dgm:presLayoutVars>
          <dgm:bulletEnabled val="1"/>
        </dgm:presLayoutVars>
      </dgm:prSet>
      <dgm:spPr/>
    </dgm:pt>
    <dgm:pt modelId="{C53FA266-B4D2-401D-8FA5-37214751FBDA}" type="pres">
      <dgm:prSet presAssocID="{74C54394-AA23-4C5C-84F4-3413CA3DAEEE}" presName="parSpace" presStyleCnt="0"/>
      <dgm:spPr/>
    </dgm:pt>
    <dgm:pt modelId="{56FD2FA2-1F19-4F19-B261-8BF8F7BEFEBE}" type="pres">
      <dgm:prSet presAssocID="{EEF9C417-0464-469F-BB8E-F765EFEA98E3}" presName="parTxOnly" presStyleLbl="node1" presStyleIdx="2" presStyleCnt="5">
        <dgm:presLayoutVars>
          <dgm:bulletEnabled val="1"/>
        </dgm:presLayoutVars>
      </dgm:prSet>
      <dgm:spPr/>
    </dgm:pt>
    <dgm:pt modelId="{A487645C-359D-4703-9719-BACDFFB4A7F6}" type="pres">
      <dgm:prSet presAssocID="{D21D2787-0E53-42EA-B879-A21EBBC06783}" presName="parSpace" presStyleCnt="0"/>
      <dgm:spPr/>
    </dgm:pt>
    <dgm:pt modelId="{7D4D9D61-F3C0-48F3-BFF3-794842863D1F}" type="pres">
      <dgm:prSet presAssocID="{0D8E71B1-50A8-464A-8311-1614014B15F0}" presName="parTxOnly" presStyleLbl="node1" presStyleIdx="3" presStyleCnt="5">
        <dgm:presLayoutVars>
          <dgm:bulletEnabled val="1"/>
        </dgm:presLayoutVars>
      </dgm:prSet>
      <dgm:spPr/>
    </dgm:pt>
    <dgm:pt modelId="{A8A341E0-48DA-408B-9743-2E608666570F}" type="pres">
      <dgm:prSet presAssocID="{0F7CF75D-D3E0-44AE-8B6A-9651620DE6EF}" presName="parSpace" presStyleCnt="0"/>
      <dgm:spPr/>
    </dgm:pt>
    <dgm:pt modelId="{E9EFFC3C-29C9-4A22-830F-C7C26C3E2EA9}" type="pres">
      <dgm:prSet presAssocID="{A89B33AB-692B-4B9A-ABB3-841EA710F90B}" presName="parTxOnly" presStyleLbl="node1" presStyleIdx="4" presStyleCnt="5" custScaleX="100205">
        <dgm:presLayoutVars>
          <dgm:bulletEnabled val="1"/>
        </dgm:presLayoutVars>
      </dgm:prSet>
      <dgm:spPr/>
    </dgm:pt>
  </dgm:ptLst>
  <dgm:cxnLst>
    <dgm:cxn modelId="{643D9D07-E09B-4311-8AC4-464E10D3AF80}" type="presOf" srcId="{0D8E71B1-50A8-464A-8311-1614014B15F0}" destId="{7D4D9D61-F3C0-48F3-BFF3-794842863D1F}" srcOrd="0" destOrd="0" presId="urn:microsoft.com/office/officeart/2005/8/layout/hChevron3"/>
    <dgm:cxn modelId="{190B7433-A1AA-4914-9999-EC57756D27C5}" type="presOf" srcId="{A89B33AB-692B-4B9A-ABB3-841EA710F90B}" destId="{E9EFFC3C-29C9-4A22-830F-C7C26C3E2EA9}" srcOrd="0" destOrd="0" presId="urn:microsoft.com/office/officeart/2005/8/layout/hChevron3"/>
    <dgm:cxn modelId="{2CDCC564-1B52-4AFC-83E3-6A023DD0A1C9}" srcId="{ACD59699-1BCB-4BD5-BBBE-9CC215679D9D}" destId="{EEF9C417-0464-469F-BB8E-F765EFEA98E3}" srcOrd="2" destOrd="0" parTransId="{67E72678-E7F1-422E-B446-153D1447F571}" sibTransId="{D21D2787-0E53-42EA-B879-A21EBBC06783}"/>
    <dgm:cxn modelId="{ADC32A68-B659-45B4-B961-2820DBFEC2D1}" srcId="{ACD59699-1BCB-4BD5-BBBE-9CC215679D9D}" destId="{0D8E71B1-50A8-464A-8311-1614014B15F0}" srcOrd="3" destOrd="0" parTransId="{0171149E-F340-44E9-B377-DDB283509A75}" sibTransId="{0F7CF75D-D3E0-44AE-8B6A-9651620DE6EF}"/>
    <dgm:cxn modelId="{91B6164D-84E4-4B0F-AA7F-F265E2B032ED}" srcId="{ACD59699-1BCB-4BD5-BBBE-9CC215679D9D}" destId="{A9E50900-B9F9-4064-81DC-A08152EB1894}" srcOrd="0" destOrd="0" parTransId="{43E8ABFD-FC1F-4A7F-A843-5621E607B694}" sibTransId="{BD177EE3-37A4-4809-A865-4F51705EC911}"/>
    <dgm:cxn modelId="{46D48250-FB6B-4821-A3CF-453ED5DB3C70}" srcId="{ACD59699-1BCB-4BD5-BBBE-9CC215679D9D}" destId="{A89B33AB-692B-4B9A-ABB3-841EA710F90B}" srcOrd="4" destOrd="0" parTransId="{4DFE526E-D531-4812-BCCA-4170BAD6B866}" sibTransId="{03822C53-9759-41B3-A768-F982E5DD253C}"/>
    <dgm:cxn modelId="{AA21D281-6BFF-41C8-B2DF-FA684CCE5934}" type="presOf" srcId="{EEF9C417-0464-469F-BB8E-F765EFEA98E3}" destId="{56FD2FA2-1F19-4F19-B261-8BF8F7BEFEBE}" srcOrd="0" destOrd="0" presId="urn:microsoft.com/office/officeart/2005/8/layout/hChevron3"/>
    <dgm:cxn modelId="{BADADBC3-1B99-467F-B420-85886C4DE3A7}" type="presOf" srcId="{A9E50900-B9F9-4064-81DC-A08152EB1894}" destId="{23F4A975-17BC-40D6-92A7-83D3E19455D1}" srcOrd="0" destOrd="0" presId="urn:microsoft.com/office/officeart/2005/8/layout/hChevron3"/>
    <dgm:cxn modelId="{1DA783E7-621C-42EE-A653-92BCFBC09337}" srcId="{ACD59699-1BCB-4BD5-BBBE-9CC215679D9D}" destId="{D4A49FEE-5746-4A39-B523-6A7AE3D8F316}" srcOrd="1" destOrd="0" parTransId="{5ACA8783-A545-4E1D-BFD2-D639A7ED7373}" sibTransId="{74C54394-AA23-4C5C-84F4-3413CA3DAEEE}"/>
    <dgm:cxn modelId="{DF42DFF8-DC65-4CA1-999F-2742971D3702}" type="presOf" srcId="{ACD59699-1BCB-4BD5-BBBE-9CC215679D9D}" destId="{CDCE77C7-86DC-426B-8E6E-DDC72CFF8AB2}" srcOrd="0" destOrd="0" presId="urn:microsoft.com/office/officeart/2005/8/layout/hChevron3"/>
    <dgm:cxn modelId="{9707E2FF-02AA-4A17-9F53-5CCA103AF2B7}" type="presOf" srcId="{D4A49FEE-5746-4A39-B523-6A7AE3D8F316}" destId="{653924A1-FD4A-45CF-AB29-30E8C03D30C4}" srcOrd="0" destOrd="0" presId="urn:microsoft.com/office/officeart/2005/8/layout/hChevron3"/>
    <dgm:cxn modelId="{4A0E4020-7718-437A-9F52-EB6828114C05}" type="presParOf" srcId="{CDCE77C7-86DC-426B-8E6E-DDC72CFF8AB2}" destId="{23F4A975-17BC-40D6-92A7-83D3E19455D1}" srcOrd="0" destOrd="0" presId="urn:microsoft.com/office/officeart/2005/8/layout/hChevron3"/>
    <dgm:cxn modelId="{2761D1C7-73F8-419B-8354-DA1DD7DE0EFE}" type="presParOf" srcId="{CDCE77C7-86DC-426B-8E6E-DDC72CFF8AB2}" destId="{8346F6F8-FE55-4D34-94D4-F8AFDB23E1F9}" srcOrd="1" destOrd="0" presId="urn:microsoft.com/office/officeart/2005/8/layout/hChevron3"/>
    <dgm:cxn modelId="{4A1F8162-5887-4CCD-8B5B-85E21EB3ADB7}" type="presParOf" srcId="{CDCE77C7-86DC-426B-8E6E-DDC72CFF8AB2}" destId="{653924A1-FD4A-45CF-AB29-30E8C03D30C4}" srcOrd="2" destOrd="0" presId="urn:microsoft.com/office/officeart/2005/8/layout/hChevron3"/>
    <dgm:cxn modelId="{FBA7606F-1AEE-4B56-9086-4C70483B9BFC}" type="presParOf" srcId="{CDCE77C7-86DC-426B-8E6E-DDC72CFF8AB2}" destId="{C53FA266-B4D2-401D-8FA5-37214751FBDA}" srcOrd="3" destOrd="0" presId="urn:microsoft.com/office/officeart/2005/8/layout/hChevron3"/>
    <dgm:cxn modelId="{421F316B-E5B8-417E-8F1C-E505BA58503B}" type="presParOf" srcId="{CDCE77C7-86DC-426B-8E6E-DDC72CFF8AB2}" destId="{56FD2FA2-1F19-4F19-B261-8BF8F7BEFEBE}" srcOrd="4" destOrd="0" presId="urn:microsoft.com/office/officeart/2005/8/layout/hChevron3"/>
    <dgm:cxn modelId="{56300726-36EC-4BE2-8700-A4F476B3631B}" type="presParOf" srcId="{CDCE77C7-86DC-426B-8E6E-DDC72CFF8AB2}" destId="{A487645C-359D-4703-9719-BACDFFB4A7F6}" srcOrd="5" destOrd="0" presId="urn:microsoft.com/office/officeart/2005/8/layout/hChevron3"/>
    <dgm:cxn modelId="{25DB924B-C569-42C7-B75A-ABADA3B18108}" type="presParOf" srcId="{CDCE77C7-86DC-426B-8E6E-DDC72CFF8AB2}" destId="{7D4D9D61-F3C0-48F3-BFF3-794842863D1F}" srcOrd="6" destOrd="0" presId="urn:microsoft.com/office/officeart/2005/8/layout/hChevron3"/>
    <dgm:cxn modelId="{B1BAAF49-A0DB-475D-952F-DA2D4C3E7E74}" type="presParOf" srcId="{CDCE77C7-86DC-426B-8E6E-DDC72CFF8AB2}" destId="{A8A341E0-48DA-408B-9743-2E608666570F}" srcOrd="7" destOrd="0" presId="urn:microsoft.com/office/officeart/2005/8/layout/hChevron3"/>
    <dgm:cxn modelId="{693C7C78-41B9-4830-AA30-385DD8B45ECF}" type="presParOf" srcId="{CDCE77C7-86DC-426B-8E6E-DDC72CFF8AB2}" destId="{E9EFFC3C-29C9-4A22-830F-C7C26C3E2EA9}" srcOrd="8" destOrd="0" presId="urn:microsoft.com/office/officeart/2005/8/layout/hChevron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3F4A975-17BC-40D6-92A7-83D3E19455D1}">
      <dsp:nvSpPr>
        <dsp:cNvPr id="0" name=""/>
        <dsp:cNvSpPr/>
      </dsp:nvSpPr>
      <dsp:spPr>
        <a:xfrm>
          <a:off x="1078" y="150997"/>
          <a:ext cx="2103681" cy="841472"/>
        </a:xfrm>
        <a:prstGeom prst="homePlate">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4676" tIns="37338" rIns="18669" bIns="37338" numCol="1" spcCol="1270" anchor="ctr" anchorCtr="0">
          <a:noAutofit/>
        </a:bodyPr>
        <a:lstStyle/>
        <a:p>
          <a:pPr marL="0" lvl="0" indent="0" algn="ctr" defTabSz="622300">
            <a:lnSpc>
              <a:spcPct val="90000"/>
            </a:lnSpc>
            <a:spcBef>
              <a:spcPct val="0"/>
            </a:spcBef>
            <a:spcAft>
              <a:spcPct val="35000"/>
            </a:spcAft>
            <a:buNone/>
          </a:pPr>
          <a:r>
            <a:rPr lang="en-CA" sz="1400" kern="1200" dirty="0"/>
            <a:t>Create a team and develop guiding principles</a:t>
          </a:r>
        </a:p>
      </dsp:txBody>
      <dsp:txXfrm>
        <a:off x="1078" y="150997"/>
        <a:ext cx="1893313" cy="841472"/>
      </dsp:txXfrm>
    </dsp:sp>
    <dsp:sp modelId="{653924A1-FD4A-45CF-AB29-30E8C03D30C4}">
      <dsp:nvSpPr>
        <dsp:cNvPr id="0" name=""/>
        <dsp:cNvSpPr/>
      </dsp:nvSpPr>
      <dsp:spPr>
        <a:xfrm>
          <a:off x="1684023" y="150997"/>
          <a:ext cx="2103681" cy="841472"/>
        </a:xfrm>
        <a:prstGeom prst="chevron">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37338" rIns="18669" bIns="37338" numCol="1" spcCol="1270" anchor="ctr" anchorCtr="0">
          <a:noAutofit/>
        </a:bodyPr>
        <a:lstStyle/>
        <a:p>
          <a:pPr marL="0" lvl="0" indent="0" algn="ctr" defTabSz="622300">
            <a:lnSpc>
              <a:spcPct val="90000"/>
            </a:lnSpc>
            <a:spcBef>
              <a:spcPct val="0"/>
            </a:spcBef>
            <a:spcAft>
              <a:spcPct val="35000"/>
            </a:spcAft>
            <a:buNone/>
          </a:pPr>
          <a:r>
            <a:rPr lang="en-CA" sz="1400" kern="1200"/>
            <a:t>Inventory Applications</a:t>
          </a:r>
        </a:p>
      </dsp:txBody>
      <dsp:txXfrm>
        <a:off x="2104759" y="150997"/>
        <a:ext cx="1262209" cy="841472"/>
      </dsp:txXfrm>
    </dsp:sp>
    <dsp:sp modelId="{56FD2FA2-1F19-4F19-B261-8BF8F7BEFEBE}">
      <dsp:nvSpPr>
        <dsp:cNvPr id="0" name=""/>
        <dsp:cNvSpPr/>
      </dsp:nvSpPr>
      <dsp:spPr>
        <a:xfrm>
          <a:off x="3366968" y="150997"/>
          <a:ext cx="2103681" cy="841472"/>
        </a:xfrm>
        <a:prstGeom prst="chevron">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37338" rIns="18669" bIns="37338" numCol="1" spcCol="1270" anchor="ctr" anchorCtr="0">
          <a:noAutofit/>
        </a:bodyPr>
        <a:lstStyle/>
        <a:p>
          <a:pPr marL="0" lvl="0" indent="0" algn="ctr" defTabSz="622300">
            <a:lnSpc>
              <a:spcPct val="90000"/>
            </a:lnSpc>
            <a:spcBef>
              <a:spcPct val="0"/>
            </a:spcBef>
            <a:spcAft>
              <a:spcPct val="35000"/>
            </a:spcAft>
            <a:buNone/>
          </a:pPr>
          <a:r>
            <a:rPr lang="en-CA" sz="1400" kern="1200"/>
            <a:t>Assess Business Value, Technical Fit, and TCO</a:t>
          </a:r>
        </a:p>
      </dsp:txBody>
      <dsp:txXfrm>
        <a:off x="3787704" y="150997"/>
        <a:ext cx="1262209" cy="841472"/>
      </dsp:txXfrm>
    </dsp:sp>
    <dsp:sp modelId="{7D4D9D61-F3C0-48F3-BFF3-794842863D1F}">
      <dsp:nvSpPr>
        <dsp:cNvPr id="0" name=""/>
        <dsp:cNvSpPr/>
      </dsp:nvSpPr>
      <dsp:spPr>
        <a:xfrm>
          <a:off x="5049913" y="150997"/>
          <a:ext cx="2103681" cy="841472"/>
        </a:xfrm>
        <a:prstGeom prst="chevron">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37338" rIns="18669" bIns="37338" numCol="1" spcCol="1270" anchor="ctr" anchorCtr="0">
          <a:noAutofit/>
        </a:bodyPr>
        <a:lstStyle/>
        <a:p>
          <a:pPr marL="0" lvl="0" indent="0" algn="ctr" defTabSz="622300">
            <a:lnSpc>
              <a:spcPct val="90000"/>
            </a:lnSpc>
            <a:spcBef>
              <a:spcPct val="0"/>
            </a:spcBef>
            <a:spcAft>
              <a:spcPct val="35000"/>
            </a:spcAft>
            <a:buNone/>
          </a:pPr>
          <a:r>
            <a:rPr lang="en-CA" sz="1400" kern="1200"/>
            <a:t>Determine Application Categories</a:t>
          </a:r>
        </a:p>
      </dsp:txBody>
      <dsp:txXfrm>
        <a:off x="5470649" y="150997"/>
        <a:ext cx="1262209" cy="841472"/>
      </dsp:txXfrm>
    </dsp:sp>
    <dsp:sp modelId="{E9EFFC3C-29C9-4A22-830F-C7C26C3E2EA9}">
      <dsp:nvSpPr>
        <dsp:cNvPr id="0" name=""/>
        <dsp:cNvSpPr/>
      </dsp:nvSpPr>
      <dsp:spPr>
        <a:xfrm>
          <a:off x="6732858" y="150997"/>
          <a:ext cx="2103681" cy="841472"/>
        </a:xfrm>
        <a:prstGeom prst="chevron">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37338" rIns="18669" bIns="37338" numCol="1" spcCol="1270" anchor="ctr" anchorCtr="0">
          <a:noAutofit/>
        </a:bodyPr>
        <a:lstStyle/>
        <a:p>
          <a:pPr marL="0" lvl="0" indent="0" algn="ctr" defTabSz="622300">
            <a:lnSpc>
              <a:spcPct val="90000"/>
            </a:lnSpc>
            <a:spcBef>
              <a:spcPct val="0"/>
            </a:spcBef>
            <a:spcAft>
              <a:spcPct val="35000"/>
            </a:spcAft>
            <a:buNone/>
          </a:pPr>
          <a:r>
            <a:rPr lang="en-CA" sz="1400" kern="1200"/>
            <a:t>Establish Application Roadmap</a:t>
          </a:r>
        </a:p>
      </dsp:txBody>
      <dsp:txXfrm>
        <a:off x="7153594" y="150997"/>
        <a:ext cx="1262209" cy="841472"/>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3F4A975-17BC-40D6-92A7-83D3E19455D1}">
      <dsp:nvSpPr>
        <dsp:cNvPr id="0" name=""/>
        <dsp:cNvSpPr/>
      </dsp:nvSpPr>
      <dsp:spPr>
        <a:xfrm>
          <a:off x="1602" y="160075"/>
          <a:ext cx="2167408" cy="832841"/>
        </a:xfrm>
        <a:prstGeom prst="homePlate">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6012" tIns="48006" rIns="24003" bIns="48006" numCol="1" spcCol="1270" anchor="ctr" anchorCtr="0">
          <a:noAutofit/>
        </a:bodyPr>
        <a:lstStyle/>
        <a:p>
          <a:pPr marL="0" lvl="0" indent="0" algn="ctr" defTabSz="800100">
            <a:lnSpc>
              <a:spcPct val="90000"/>
            </a:lnSpc>
            <a:spcBef>
              <a:spcPct val="0"/>
            </a:spcBef>
            <a:spcAft>
              <a:spcPct val="35000"/>
            </a:spcAft>
            <a:buNone/>
          </a:pPr>
          <a:r>
            <a:rPr lang="en-CA" sz="1800" kern="1200" dirty="0"/>
            <a:t>May-June</a:t>
          </a:r>
        </a:p>
      </dsp:txBody>
      <dsp:txXfrm>
        <a:off x="1602" y="160075"/>
        <a:ext cx="1959198" cy="832841"/>
      </dsp:txXfrm>
    </dsp:sp>
    <dsp:sp modelId="{653924A1-FD4A-45CF-AB29-30E8C03D30C4}">
      <dsp:nvSpPr>
        <dsp:cNvPr id="0" name=""/>
        <dsp:cNvSpPr/>
      </dsp:nvSpPr>
      <dsp:spPr>
        <a:xfrm>
          <a:off x="1752590" y="160075"/>
          <a:ext cx="2082104" cy="832841"/>
        </a:xfrm>
        <a:prstGeom prst="chevron">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48006" rIns="24003" bIns="48006" numCol="1" spcCol="1270" anchor="ctr" anchorCtr="0">
          <a:noAutofit/>
        </a:bodyPr>
        <a:lstStyle/>
        <a:p>
          <a:pPr marL="0" lvl="0" indent="0" algn="ctr" defTabSz="800100">
            <a:lnSpc>
              <a:spcPct val="90000"/>
            </a:lnSpc>
            <a:spcBef>
              <a:spcPct val="0"/>
            </a:spcBef>
            <a:spcAft>
              <a:spcPct val="35000"/>
            </a:spcAft>
            <a:buNone/>
          </a:pPr>
          <a:r>
            <a:rPr lang="en-CA" sz="1800" kern="1200" dirty="0"/>
            <a:t>May-July</a:t>
          </a:r>
        </a:p>
      </dsp:txBody>
      <dsp:txXfrm>
        <a:off x="2169011" y="160075"/>
        <a:ext cx="1249263" cy="832841"/>
      </dsp:txXfrm>
    </dsp:sp>
    <dsp:sp modelId="{56FD2FA2-1F19-4F19-B261-8BF8F7BEFEBE}">
      <dsp:nvSpPr>
        <dsp:cNvPr id="0" name=""/>
        <dsp:cNvSpPr/>
      </dsp:nvSpPr>
      <dsp:spPr>
        <a:xfrm>
          <a:off x="3418274" y="160075"/>
          <a:ext cx="2082104" cy="832841"/>
        </a:xfrm>
        <a:prstGeom prst="chevron">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48006" rIns="24003" bIns="48006" numCol="1" spcCol="1270" anchor="ctr" anchorCtr="0">
          <a:noAutofit/>
        </a:bodyPr>
        <a:lstStyle/>
        <a:p>
          <a:pPr marL="0" lvl="0" indent="0" algn="ctr" defTabSz="800100">
            <a:lnSpc>
              <a:spcPct val="90000"/>
            </a:lnSpc>
            <a:spcBef>
              <a:spcPct val="0"/>
            </a:spcBef>
            <a:spcAft>
              <a:spcPct val="35000"/>
            </a:spcAft>
            <a:buNone/>
          </a:pPr>
          <a:r>
            <a:rPr lang="en-CA" sz="1800" kern="1200" dirty="0"/>
            <a:t>June-July</a:t>
          </a:r>
        </a:p>
      </dsp:txBody>
      <dsp:txXfrm>
        <a:off x="3834695" y="160075"/>
        <a:ext cx="1249263" cy="832841"/>
      </dsp:txXfrm>
    </dsp:sp>
    <dsp:sp modelId="{7D4D9D61-F3C0-48F3-BFF3-794842863D1F}">
      <dsp:nvSpPr>
        <dsp:cNvPr id="0" name=""/>
        <dsp:cNvSpPr/>
      </dsp:nvSpPr>
      <dsp:spPr>
        <a:xfrm>
          <a:off x="5083958" y="160075"/>
          <a:ext cx="2082104" cy="832841"/>
        </a:xfrm>
        <a:prstGeom prst="chevron">
          <a:avLst/>
        </a:prstGeom>
        <a:solidFill>
          <a:schemeClr val="accent5">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48006" rIns="24003" bIns="48006" numCol="1" spcCol="1270" anchor="ctr" anchorCtr="0">
          <a:noAutofit/>
        </a:bodyPr>
        <a:lstStyle/>
        <a:p>
          <a:pPr marL="0" lvl="0" indent="0" algn="ctr" defTabSz="800100">
            <a:lnSpc>
              <a:spcPct val="90000"/>
            </a:lnSpc>
            <a:spcBef>
              <a:spcPct val="0"/>
            </a:spcBef>
            <a:spcAft>
              <a:spcPct val="35000"/>
            </a:spcAft>
            <a:buNone/>
          </a:pPr>
          <a:r>
            <a:rPr lang="en-CA" sz="1800" kern="1200" dirty="0"/>
            <a:t>July-Sept</a:t>
          </a:r>
        </a:p>
      </dsp:txBody>
      <dsp:txXfrm>
        <a:off x="5500379" y="160075"/>
        <a:ext cx="1249263" cy="832841"/>
      </dsp:txXfrm>
    </dsp:sp>
    <dsp:sp modelId="{E9EFFC3C-29C9-4A22-830F-C7C26C3E2EA9}">
      <dsp:nvSpPr>
        <dsp:cNvPr id="0" name=""/>
        <dsp:cNvSpPr/>
      </dsp:nvSpPr>
      <dsp:spPr>
        <a:xfrm>
          <a:off x="6749642" y="160075"/>
          <a:ext cx="2086373" cy="832841"/>
        </a:xfrm>
        <a:prstGeom prst="chevron">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48006" rIns="24003" bIns="48006" numCol="1" spcCol="1270" anchor="ctr" anchorCtr="0">
          <a:noAutofit/>
        </a:bodyPr>
        <a:lstStyle/>
        <a:p>
          <a:pPr marL="0" lvl="0" indent="0" algn="ctr" defTabSz="800100">
            <a:lnSpc>
              <a:spcPct val="90000"/>
            </a:lnSpc>
            <a:spcBef>
              <a:spcPct val="0"/>
            </a:spcBef>
            <a:spcAft>
              <a:spcPct val="35000"/>
            </a:spcAft>
            <a:buNone/>
          </a:pPr>
          <a:r>
            <a:rPr lang="en-CA" sz="1800" kern="1200" dirty="0"/>
            <a:t>Sept-Oct</a:t>
          </a:r>
        </a:p>
      </dsp:txBody>
      <dsp:txXfrm>
        <a:off x="7166063" y="160075"/>
        <a:ext cx="1253532" cy="832841"/>
      </dsp:txXfrm>
    </dsp:sp>
  </dsp:spTree>
</dsp:drawing>
</file>

<file path=xl/diagrams/layout1.xml><?xml version="1.0" encoding="utf-8"?>
<dgm:layoutDef xmlns:dgm="http://schemas.openxmlformats.org/drawingml/2006/diagram" xmlns:a="http://schemas.openxmlformats.org/drawingml/2006/main" uniqueId="urn:microsoft.com/office/officeart/2005/8/layout/hChevron3">
  <dgm:title val=""/>
  <dgm:desc val=""/>
  <dgm:catLst>
    <dgm:cat type="process" pri="10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root des" func="maxDepth" op="gte" val="2">
        <dgm:constrLst>
          <dgm:constr type="w" for="ch" forName="parAndChTx" refType="w"/>
          <dgm:constr type="primFontSz" for="ch" ptType="node" op="equ"/>
          <dgm:constr type="w" for="ch" forName="parAndChSpace" refType="w" refFor="ch" refForName="parAndChTx" fact="-0.2"/>
          <dgm:constr type="w" for="ch" ptType="sibTrans" op="equ"/>
        </dgm:constrLst>
        <dgm:ruleLst/>
        <dgm:forEach name="Name6" axis="ch" ptType="node">
          <dgm:layoutNode name="parAndChTx">
            <dgm:varLst>
              <dgm:bulletEnabled val="1"/>
            </dgm:varLst>
            <dgm:alg type="tx"/>
            <dgm:choose name="Name7">
              <dgm:if name="Name8" func="var" arg="dir" op="equ" val="norm">
                <dgm:choose name="Name9">
                  <dgm:if name="Name10" axis="self" ptType="node" func="pos" op="equ" val="1">
                    <dgm:shape xmlns:r="http://schemas.openxmlformats.org/officeDocument/2006/relationships" type="homePlate"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4"/>
                    </dgm:constrLst>
                  </dgm:if>
                  <dgm:else name="Name11">
                    <dgm:shape xmlns:r="http://schemas.openxmlformats.org/officeDocument/2006/relationships" type="chevron"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1"/>
                    </dgm:constrLst>
                  </dgm:else>
                </dgm:choose>
              </dgm:if>
              <dgm:else name="Name12">
                <dgm:choose name="Name13">
                  <dgm:if name="Name14" axis="self" ptType="node" func="pos" op="equ" val="1">
                    <dgm:shape xmlns:r="http://schemas.openxmlformats.org/officeDocument/2006/relationships" rot="180" type="homePlate"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4"/>
                      <dgm:constr type="rMarg" refType="w" fact="0.1"/>
                    </dgm:constrLst>
                  </dgm:if>
                  <dgm:else name="Name15">
                    <dgm:shape xmlns:r="http://schemas.openxmlformats.org/officeDocument/2006/relationships" rot="180" type="chevron"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1"/>
                    </dgm:constrLst>
                  </dgm:else>
                </dgm:choose>
              </dgm:else>
            </dgm:choose>
            <dgm:ruleLst>
              <dgm:rule type="primFontSz" val="5" fact="NaN" max="NaN"/>
            </dgm:ruleLst>
          </dgm:layoutNode>
          <dgm:forEach name="Name16" axis="followSib" ptType="sibTrans" cnt="1">
            <dgm:layoutNode name="parAndChSpace">
              <dgm:alg type="sp"/>
              <dgm:shape xmlns:r="http://schemas.openxmlformats.org/officeDocument/2006/relationships" r:blip="">
                <dgm:adjLst/>
              </dgm:shape>
              <dgm:presOf/>
              <dgm:constrLst/>
              <dgm:ruleLst/>
            </dgm:layoutNode>
          </dgm:forEach>
        </dgm:forEach>
      </dgm:if>
      <dgm:else name="Name17">
        <dgm:constrLst>
          <dgm:constr type="w" for="ch" forName="parTxOnly" refType="w"/>
          <dgm:constr type="primFontSz" for="ch" ptType="node" op="equ"/>
          <dgm:constr type="w" for="ch" forName="parSpace" refType="w" refFor="ch" refForName="parTxOnly" fact="-0.2"/>
          <dgm:constr type="w" for="ch" ptType="sibTrans" op="equ"/>
        </dgm:constrLst>
        <dgm:ruleLst/>
        <dgm:forEach name="Name18" axis="ch" ptType="node">
          <dgm:layoutNode name="parTxOnly">
            <dgm:varLst>
              <dgm:bulletEnabled val="1"/>
            </dgm:varLst>
            <dgm:alg type="tx"/>
            <dgm:presOf axis="desOrSelf" ptType="node"/>
            <dgm:choose name="Name19">
              <dgm:if name="Name20" func="var" arg="dir" op="equ" val="norm">
                <dgm:choose name="Name21">
                  <dgm:if name="Name22" axis="self" ptType="node" func="pos" op="equ" val="1">
                    <dgm:shape xmlns:r="http://schemas.openxmlformats.org/officeDocument/2006/relationships" type="homePlate" r:blip="">
                      <dgm:adjLst/>
                    </dgm:shape>
                    <dgm:constrLst>
                      <dgm:constr type="h" refType="w" op="equ" fact="0.4"/>
                      <dgm:constr type="primFontSz" val="65"/>
                      <dgm:constr type="tMarg" refType="primFontSz" fact="0.21"/>
                      <dgm:constr type="bMarg" refType="primFontSz" fact="0.21"/>
                      <dgm:constr type="lMarg" refType="primFontSz" fact="0.42"/>
                      <dgm:constr type="rMarg" refType="primFontSz" fact="0.105"/>
                    </dgm:constrLst>
                  </dgm:if>
                  <dgm:else name="Name23">
                    <dgm:shape xmlns:r="http://schemas.openxmlformats.org/officeDocument/2006/relationships" type="chevron" r:blip="">
                      <dgm:adjLst/>
                    </dgm:shape>
                    <dgm:constrLst>
                      <dgm:constr type="h" refType="w" op="equ" fact="0.4"/>
                      <dgm:constr type="primFontSz" val="65"/>
                      <dgm:constr type="tMarg" refType="primFontSz" fact="0.21"/>
                      <dgm:constr type="bMarg" refType="primFontSz" fact="0.21"/>
                      <dgm:constr type="lMarg" refType="primFontSz" fact="0.315"/>
                      <dgm:constr type="rMarg" refType="primFontSz" fact="0.105"/>
                    </dgm:constrLst>
                  </dgm:else>
                </dgm:choose>
              </dgm:if>
              <dgm:else name="Name24">
                <dgm:choose name="Name25">
                  <dgm:if name="Name26" axis="self" ptType="node" func="pos" op="equ" val="1">
                    <dgm:shape xmlns:r="http://schemas.openxmlformats.org/officeDocument/2006/relationships" rot="180" type="homePlate" r:blip="">
                      <dgm:adjLst/>
                    </dgm:shape>
                    <dgm:constrLst>
                      <dgm:constr type="h" refType="w" op="equ" fact="0.4"/>
                      <dgm:constr type="primFontSz" val="65"/>
                      <dgm:constr type="tMarg" refType="primFontSz" fact="0.21"/>
                      <dgm:constr type="bMarg" refType="primFontSz" fact="0.21"/>
                      <dgm:constr type="lMarg" refType="primFontSz" fact="0.105"/>
                      <dgm:constr type="rMarg" refType="primFontSz" fact="0.42"/>
                    </dgm:constrLst>
                  </dgm:if>
                  <dgm:else name="Name27">
                    <dgm:shape xmlns:r="http://schemas.openxmlformats.org/officeDocument/2006/relationships" rot="180" type="chevron" r:blip="">
                      <dgm:adjLst/>
                    </dgm:shape>
                    <dgm:constrLst>
                      <dgm:constr type="h" refType="w" op="equ" fact="0.4"/>
                      <dgm:constr type="primFontSz" val="65"/>
                      <dgm:constr type="tMarg" refType="primFontSz" fact="0.21"/>
                      <dgm:constr type="bMarg" refType="primFontSz" fact="0.21"/>
                      <dgm:constr type="lMarg" refType="primFontSz" fact="0.105"/>
                      <dgm:constr type="rMarg" refType="primFontSz" fact="0.315"/>
                    </dgm:constrLst>
                  </dgm:else>
                </dgm:choose>
              </dgm:else>
            </dgm:choose>
            <dgm:ruleLst>
              <dgm:rule type="primFontSz" val="5" fact="NaN" max="NaN"/>
            </dgm:ruleLst>
          </dgm:layoutNode>
          <dgm:forEach name="Name28" axis="followSib" ptType="sibTrans" cnt="1">
            <dgm:layoutNode name="parSpace">
              <dgm:alg type="sp"/>
              <dgm:shape xmlns:r="http://schemas.openxmlformats.org/officeDocument/2006/relationships" r:blip="">
                <dgm:adjLst/>
              </dgm:shape>
              <dgm:presOf/>
              <dgm:constrLst/>
              <dgm:ruleLst/>
            </dgm:layoutNode>
          </dgm:forEach>
        </dgm:forEach>
      </dgm:else>
    </dgm:choose>
  </dgm:layoutNode>
</dgm:layoutDef>
</file>

<file path=xl/diagrams/layout2.xml><?xml version="1.0" encoding="utf-8"?>
<dgm:layoutDef xmlns:dgm="http://schemas.openxmlformats.org/drawingml/2006/diagram" xmlns:a="http://schemas.openxmlformats.org/drawingml/2006/main" uniqueId="urn:microsoft.com/office/officeart/2005/8/layout/hChevron3">
  <dgm:title val=""/>
  <dgm:desc val=""/>
  <dgm:catLst>
    <dgm:cat type="process" pri="10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root des" func="maxDepth" op="gte" val="2">
        <dgm:constrLst>
          <dgm:constr type="w" for="ch" forName="parAndChTx" refType="w"/>
          <dgm:constr type="primFontSz" for="ch" ptType="node" op="equ"/>
          <dgm:constr type="w" for="ch" forName="parAndChSpace" refType="w" refFor="ch" refForName="parAndChTx" fact="-0.2"/>
          <dgm:constr type="w" for="ch" ptType="sibTrans" op="equ"/>
        </dgm:constrLst>
        <dgm:ruleLst/>
        <dgm:forEach name="Name6" axis="ch" ptType="node">
          <dgm:layoutNode name="parAndChTx">
            <dgm:varLst>
              <dgm:bulletEnabled val="1"/>
            </dgm:varLst>
            <dgm:alg type="tx"/>
            <dgm:choose name="Name7">
              <dgm:if name="Name8" func="var" arg="dir" op="equ" val="norm">
                <dgm:choose name="Name9">
                  <dgm:if name="Name10" axis="self" ptType="node" func="pos" op="equ" val="1">
                    <dgm:shape xmlns:r="http://schemas.openxmlformats.org/officeDocument/2006/relationships" type="homePlate"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4"/>
                    </dgm:constrLst>
                  </dgm:if>
                  <dgm:else name="Name11">
                    <dgm:shape xmlns:r="http://schemas.openxmlformats.org/officeDocument/2006/relationships" type="chevron"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1"/>
                    </dgm:constrLst>
                  </dgm:else>
                </dgm:choose>
              </dgm:if>
              <dgm:else name="Name12">
                <dgm:choose name="Name13">
                  <dgm:if name="Name14" axis="self" ptType="node" func="pos" op="equ" val="1">
                    <dgm:shape xmlns:r="http://schemas.openxmlformats.org/officeDocument/2006/relationships" rot="180" type="homePlate"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4"/>
                      <dgm:constr type="rMarg" refType="w" fact="0.1"/>
                    </dgm:constrLst>
                  </dgm:if>
                  <dgm:else name="Name15">
                    <dgm:shape xmlns:r="http://schemas.openxmlformats.org/officeDocument/2006/relationships" rot="180" type="chevron"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1"/>
                    </dgm:constrLst>
                  </dgm:else>
                </dgm:choose>
              </dgm:else>
            </dgm:choose>
            <dgm:ruleLst>
              <dgm:rule type="primFontSz" val="5" fact="NaN" max="NaN"/>
            </dgm:ruleLst>
          </dgm:layoutNode>
          <dgm:forEach name="Name16" axis="followSib" ptType="sibTrans" cnt="1">
            <dgm:layoutNode name="parAndChSpace">
              <dgm:alg type="sp"/>
              <dgm:shape xmlns:r="http://schemas.openxmlformats.org/officeDocument/2006/relationships" r:blip="">
                <dgm:adjLst/>
              </dgm:shape>
              <dgm:presOf/>
              <dgm:constrLst/>
              <dgm:ruleLst/>
            </dgm:layoutNode>
          </dgm:forEach>
        </dgm:forEach>
      </dgm:if>
      <dgm:else name="Name17">
        <dgm:constrLst>
          <dgm:constr type="w" for="ch" forName="parTxOnly" refType="w"/>
          <dgm:constr type="primFontSz" for="ch" ptType="node" op="equ"/>
          <dgm:constr type="w" for="ch" forName="parSpace" refType="w" refFor="ch" refForName="parTxOnly" fact="-0.2"/>
          <dgm:constr type="w" for="ch" ptType="sibTrans" op="equ"/>
        </dgm:constrLst>
        <dgm:ruleLst/>
        <dgm:forEach name="Name18" axis="ch" ptType="node">
          <dgm:layoutNode name="parTxOnly">
            <dgm:varLst>
              <dgm:bulletEnabled val="1"/>
            </dgm:varLst>
            <dgm:alg type="tx"/>
            <dgm:presOf axis="desOrSelf" ptType="node"/>
            <dgm:choose name="Name19">
              <dgm:if name="Name20" func="var" arg="dir" op="equ" val="norm">
                <dgm:choose name="Name21">
                  <dgm:if name="Name22" axis="self" ptType="node" func="pos" op="equ" val="1">
                    <dgm:shape xmlns:r="http://schemas.openxmlformats.org/officeDocument/2006/relationships" type="homePlate" r:blip="">
                      <dgm:adjLst/>
                    </dgm:shape>
                    <dgm:constrLst>
                      <dgm:constr type="h" refType="w" op="equ" fact="0.4"/>
                      <dgm:constr type="primFontSz" val="65"/>
                      <dgm:constr type="tMarg" refType="primFontSz" fact="0.21"/>
                      <dgm:constr type="bMarg" refType="primFontSz" fact="0.21"/>
                      <dgm:constr type="lMarg" refType="primFontSz" fact="0.42"/>
                      <dgm:constr type="rMarg" refType="primFontSz" fact="0.105"/>
                    </dgm:constrLst>
                  </dgm:if>
                  <dgm:else name="Name23">
                    <dgm:shape xmlns:r="http://schemas.openxmlformats.org/officeDocument/2006/relationships" type="chevron" r:blip="">
                      <dgm:adjLst/>
                    </dgm:shape>
                    <dgm:constrLst>
                      <dgm:constr type="h" refType="w" op="equ" fact="0.4"/>
                      <dgm:constr type="primFontSz" val="65"/>
                      <dgm:constr type="tMarg" refType="primFontSz" fact="0.21"/>
                      <dgm:constr type="bMarg" refType="primFontSz" fact="0.21"/>
                      <dgm:constr type="lMarg" refType="primFontSz" fact="0.315"/>
                      <dgm:constr type="rMarg" refType="primFontSz" fact="0.105"/>
                    </dgm:constrLst>
                  </dgm:else>
                </dgm:choose>
              </dgm:if>
              <dgm:else name="Name24">
                <dgm:choose name="Name25">
                  <dgm:if name="Name26" axis="self" ptType="node" func="pos" op="equ" val="1">
                    <dgm:shape xmlns:r="http://schemas.openxmlformats.org/officeDocument/2006/relationships" rot="180" type="homePlate" r:blip="">
                      <dgm:adjLst/>
                    </dgm:shape>
                    <dgm:constrLst>
                      <dgm:constr type="h" refType="w" op="equ" fact="0.4"/>
                      <dgm:constr type="primFontSz" val="65"/>
                      <dgm:constr type="tMarg" refType="primFontSz" fact="0.21"/>
                      <dgm:constr type="bMarg" refType="primFontSz" fact="0.21"/>
                      <dgm:constr type="lMarg" refType="primFontSz" fact="0.105"/>
                      <dgm:constr type="rMarg" refType="primFontSz" fact="0.42"/>
                    </dgm:constrLst>
                  </dgm:if>
                  <dgm:else name="Name27">
                    <dgm:shape xmlns:r="http://schemas.openxmlformats.org/officeDocument/2006/relationships" rot="180" type="chevron" r:blip="">
                      <dgm:adjLst/>
                    </dgm:shape>
                    <dgm:constrLst>
                      <dgm:constr type="h" refType="w" op="equ" fact="0.4"/>
                      <dgm:constr type="primFontSz" val="65"/>
                      <dgm:constr type="tMarg" refType="primFontSz" fact="0.21"/>
                      <dgm:constr type="bMarg" refType="primFontSz" fact="0.21"/>
                      <dgm:constr type="lMarg" refType="primFontSz" fact="0.105"/>
                      <dgm:constr type="rMarg" refType="primFontSz" fact="0.315"/>
                    </dgm:constrLst>
                  </dgm:else>
                </dgm:choose>
              </dgm:else>
            </dgm:choose>
            <dgm:ruleLst>
              <dgm:rule type="primFontSz" val="5" fact="NaN" max="NaN"/>
            </dgm:ruleLst>
          </dgm:layoutNode>
          <dgm:forEach name="Name28" axis="followSib" ptType="sibTrans" cnt="1">
            <dgm:layoutNode name="parSpace">
              <dgm:alg type="sp"/>
              <dgm:shape xmlns:r="http://schemas.openxmlformats.org/officeDocument/2006/relationships" r:blip="">
                <dgm:adjLst/>
              </dgm:shape>
              <dgm:presOf/>
              <dgm:constrLst/>
              <dgm:ruleLst/>
            </dgm:layoutNode>
          </dgm:forEach>
        </dgm:forEach>
      </dgm:else>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vertex42.com/?utm_source=ms&amp;utm_medium=file&amp;utm_campaign=office&amp;utm_term=timeline&amp;utm_content=logo" TargetMode="Externa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vertex42.com/?utm_source=ms&amp;utm_medium=file&amp;utm_campaign=office&amp;utm_term=timeline&amp;utm_content=logo" TargetMode="External"/></Relationships>
</file>

<file path=xl/drawings/drawing1.xml><?xml version="1.0" encoding="utf-8"?>
<xdr:wsDr xmlns:xdr="http://schemas.openxmlformats.org/drawingml/2006/spreadsheetDrawing" xmlns:a="http://schemas.openxmlformats.org/drawingml/2006/main">
  <xdr:twoCellAnchor>
    <xdr:from>
      <xdr:col>1</xdr:col>
      <xdr:colOff>551497</xdr:colOff>
      <xdr:row>0</xdr:row>
      <xdr:rowOff>85725</xdr:rowOff>
    </xdr:from>
    <xdr:to>
      <xdr:col>8</xdr:col>
      <xdr:colOff>20955</xdr:colOff>
      <xdr:row>34</xdr:row>
      <xdr:rowOff>35243</xdr:rowOff>
    </xdr:to>
    <xdr:graphicFrame macro="">
      <xdr:nvGraphicFramePr>
        <xdr:cNvPr id="3" name="Chart 2">
          <a:extLst>
            <a:ext uri="{FF2B5EF4-FFF2-40B4-BE49-F238E27FC236}">
              <a16:creationId xmlns:a16="http://schemas.microsoft.com/office/drawing/2014/main" id="{804101E9-334F-4A84-8D62-96D9C4F48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0</xdr:row>
      <xdr:rowOff>66675</xdr:rowOff>
    </xdr:from>
    <xdr:to>
      <xdr:col>9</xdr:col>
      <xdr:colOff>1905000</xdr:colOff>
      <xdr:row>2</xdr:row>
      <xdr:rowOff>114300</xdr:rowOff>
    </xdr:to>
    <xdr:pic>
      <xdr:nvPicPr>
        <xdr:cNvPr id="4" name="Picture 3">
          <a:hlinkClick xmlns:r="http://schemas.openxmlformats.org/officeDocument/2006/relationships" r:id="rId2"/>
          <a:extLst>
            <a:ext uri="{FF2B5EF4-FFF2-40B4-BE49-F238E27FC236}">
              <a16:creationId xmlns:a16="http://schemas.microsoft.com/office/drawing/2014/main" id="{6324F52B-D3EC-4F40-ADA0-198ADBB979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096375" y="66675"/>
          <a:ext cx="19050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35</xdr:col>
      <xdr:colOff>114300</xdr:colOff>
      <xdr:row>22</xdr:row>
      <xdr:rowOff>0</xdr:rowOff>
    </xdr:from>
    <xdr:to>
      <xdr:col>37</xdr:col>
      <xdr:colOff>15289</xdr:colOff>
      <xdr:row>24</xdr:row>
      <xdr:rowOff>52</xdr:rowOff>
    </xdr:to>
    <xdr:pic>
      <xdr:nvPicPr>
        <xdr:cNvPr id="3" name="Picture 2" descr="Ribbon outline">
          <a:extLst>
            <a:ext uri="{FF2B5EF4-FFF2-40B4-BE49-F238E27FC236}">
              <a16:creationId xmlns:a16="http://schemas.microsoft.com/office/drawing/2014/main" id="{5B5D5D6A-2BCA-45E5-81F0-D96BFE233D8D}"/>
            </a:ext>
          </a:extLst>
        </xdr:cNvPr>
        <xdr:cNvPicPr>
          <a:picLocks noChangeAspect="1"/>
        </xdr:cNvPicPr>
      </xdr:nvPicPr>
      <xdr:blipFill>
        <a:blip xmlns:r="http://schemas.openxmlformats.org/officeDocument/2006/relationships" r:embed="rId1"/>
        <a:stretch>
          <a:fillRect/>
        </a:stretch>
      </xdr:blipFill>
      <xdr:spPr>
        <a:xfrm>
          <a:off x="8286750" y="4181475"/>
          <a:ext cx="358189" cy="3715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66675</xdr:colOff>
      <xdr:row>3</xdr:row>
      <xdr:rowOff>171450</xdr:rowOff>
    </xdr:from>
    <xdr:to>
      <xdr:col>8</xdr:col>
      <xdr:colOff>390525</xdr:colOff>
      <xdr:row>5</xdr:row>
      <xdr:rowOff>66675</xdr:rowOff>
    </xdr:to>
    <xdr:sp macro="" textlink="">
      <xdr:nvSpPr>
        <xdr:cNvPr id="2" name="Star: 5 Points 1">
          <a:extLst>
            <a:ext uri="{FF2B5EF4-FFF2-40B4-BE49-F238E27FC236}">
              <a16:creationId xmlns:a16="http://schemas.microsoft.com/office/drawing/2014/main" id="{72A514F9-1492-A6AE-C43F-95637EBB4AE8}"/>
            </a:ext>
          </a:extLst>
        </xdr:cNvPr>
        <xdr:cNvSpPr/>
      </xdr:nvSpPr>
      <xdr:spPr>
        <a:xfrm>
          <a:off x="3267075" y="1123950"/>
          <a:ext cx="323850" cy="257175"/>
        </a:xfrm>
        <a:prstGeom prst="star5">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35</xdr:col>
      <xdr:colOff>114300</xdr:colOff>
      <xdr:row>22</xdr:row>
      <xdr:rowOff>0</xdr:rowOff>
    </xdr:from>
    <xdr:to>
      <xdr:col>37</xdr:col>
      <xdr:colOff>19099</xdr:colOff>
      <xdr:row>24</xdr:row>
      <xdr:rowOff>52</xdr:rowOff>
    </xdr:to>
    <xdr:pic>
      <xdr:nvPicPr>
        <xdr:cNvPr id="7" name="Picture 6" descr="Ribbon outline">
          <a:extLst>
            <a:ext uri="{FF2B5EF4-FFF2-40B4-BE49-F238E27FC236}">
              <a16:creationId xmlns:a16="http://schemas.microsoft.com/office/drawing/2014/main" id="{8CDC9E8E-4706-2023-E6C4-1690BEB34D65}"/>
            </a:ext>
          </a:extLst>
        </xdr:cNvPr>
        <xdr:cNvPicPr>
          <a:picLocks noChangeAspect="1"/>
        </xdr:cNvPicPr>
      </xdr:nvPicPr>
      <xdr:blipFill>
        <a:blip xmlns:r="http://schemas.openxmlformats.org/officeDocument/2006/relationships" r:embed="rId1"/>
        <a:stretch>
          <a:fillRect/>
        </a:stretch>
      </xdr:blipFill>
      <xdr:spPr>
        <a:xfrm>
          <a:off x="8286750" y="4181475"/>
          <a:ext cx="354379" cy="3715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7</xdr:row>
      <xdr:rowOff>0</xdr:rowOff>
    </xdr:from>
    <xdr:to>
      <xdr:col>18</xdr:col>
      <xdr:colOff>303218</xdr:colOff>
      <xdr:row>13</xdr:row>
      <xdr:rowOff>57617</xdr:rowOff>
    </xdr:to>
    <xdr:graphicFrame macro="">
      <xdr:nvGraphicFramePr>
        <xdr:cNvPr id="4" name="Diagram 3">
          <a:extLst>
            <a:ext uri="{FF2B5EF4-FFF2-40B4-BE49-F238E27FC236}">
              <a16:creationId xmlns:a16="http://schemas.microsoft.com/office/drawing/2014/main" id="{BEEDE7A3-5062-40A4-9A0C-2D1EE013739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4</xdr:col>
      <xdr:colOff>0</xdr:colOff>
      <xdr:row>11</xdr:row>
      <xdr:rowOff>58593</xdr:rowOff>
    </xdr:from>
    <xdr:to>
      <xdr:col>18</xdr:col>
      <xdr:colOff>303218</xdr:colOff>
      <xdr:row>17</xdr:row>
      <xdr:rowOff>125735</xdr:rowOff>
    </xdr:to>
    <xdr:graphicFrame macro="">
      <xdr:nvGraphicFramePr>
        <xdr:cNvPr id="5" name="Diagram 4">
          <a:extLst>
            <a:ext uri="{FF2B5EF4-FFF2-40B4-BE49-F238E27FC236}">
              <a16:creationId xmlns:a16="http://schemas.microsoft.com/office/drawing/2014/main" id="{7D3C88F3-372D-4BEF-B9B7-9E8FDDBA725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9549CDB1-A6FB-48C4-AD33-3E59423C4A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timeline.html?utm_source=ms&amp;utm_medium=file&amp;utm_campaign=office&amp;utm_term=project&amp;utm_content=title" TargetMode="External"/><Relationship Id="rId1" Type="http://schemas.openxmlformats.org/officeDocument/2006/relationships/hyperlink" Target="https://www.vertex42.com/ExcelTemplates/timeline.html?utm_source=ms&amp;utm_medium=file&amp;utm_campaign=office&amp;utm_term=project&amp;utm_content=url"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vertex42.com/ExcelTemplates/project-timeline.html?utm_source=ms&amp;utm_medium=file&amp;utm_campaign=office&amp;utm_content=title" TargetMode="External"/><Relationship Id="rId2" Type="http://schemas.openxmlformats.org/officeDocument/2006/relationships/hyperlink" Target="https://www.vertex42.com/ExcelTemplates/excel-project-management.html?utm_source=ms&amp;utm_medium=file&amp;utm_campaign=office&amp;utm_term=timeline&amp;utm_content=more" TargetMode="External"/><Relationship Id="rId1" Type="http://schemas.openxmlformats.org/officeDocument/2006/relationships/hyperlink" Target="https://www.vertex42.com/ExcelTemplates/timeline.html?utm_source=ms&amp;utm_medium=file&amp;utm_campaign=office&amp;utm_term=timeline&amp;utm_content=more" TargetMode="External"/><Relationship Id="rId6" Type="http://schemas.openxmlformats.org/officeDocument/2006/relationships/drawing" Target="../drawings/drawing5.xml"/><Relationship Id="rId5" Type="http://schemas.openxmlformats.org/officeDocument/2006/relationships/printerSettings" Target="../printerSettings/printerSettings2.bin"/><Relationship Id="rId4" Type="http://schemas.openxmlformats.org/officeDocument/2006/relationships/hyperlink" Target="https://www.vertex42.com/ExcelTemplates/project-timeline.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D695-63DB-475B-89F7-AC927F169BD9}">
  <sheetPr>
    <pageSetUpPr fitToPage="1"/>
  </sheetPr>
  <dimension ref="B4:K67"/>
  <sheetViews>
    <sheetView showGridLines="0" topLeftCell="A23" workbookViewId="0">
      <selection activeCell="B37" sqref="B37:E53"/>
    </sheetView>
  </sheetViews>
  <sheetFormatPr defaultRowHeight="14.4" x14ac:dyDescent="0.3"/>
  <cols>
    <col min="1" max="1" width="3.6640625" customWidth="1"/>
    <col min="2" max="7" width="42.88671875" customWidth="1"/>
    <col min="8" max="8" width="3.6640625" customWidth="1"/>
    <col min="9" max="9" width="5.5546875" customWidth="1"/>
    <col min="10" max="10" width="33.88671875" customWidth="1"/>
  </cols>
  <sheetData>
    <row r="4" spans="10:11" x14ac:dyDescent="0.3">
      <c r="J4" s="28" t="s">
        <v>21</v>
      </c>
      <c r="K4" s="28"/>
    </row>
    <row r="5" spans="10:11" x14ac:dyDescent="0.3">
      <c r="J5" s="29" t="s">
        <v>22</v>
      </c>
      <c r="K5" s="29"/>
    </row>
    <row r="6" spans="10:11" x14ac:dyDescent="0.3">
      <c r="J6" s="1"/>
    </row>
    <row r="8" spans="10:11" x14ac:dyDescent="0.3">
      <c r="J8" s="30" t="s">
        <v>26</v>
      </c>
    </row>
    <row r="9" spans="10:11" x14ac:dyDescent="0.3">
      <c r="J9" s="31" t="s">
        <v>28</v>
      </c>
    </row>
    <row r="10" spans="10:11" x14ac:dyDescent="0.3">
      <c r="J10" s="31" t="s">
        <v>29</v>
      </c>
    </row>
    <row r="11" spans="10:11" x14ac:dyDescent="0.3">
      <c r="J11" s="31" t="s">
        <v>27</v>
      </c>
    </row>
    <row r="12" spans="10:11" x14ac:dyDescent="0.3">
      <c r="J12" s="31" t="s">
        <v>23</v>
      </c>
    </row>
    <row r="13" spans="10:11" x14ac:dyDescent="0.3">
      <c r="J13" s="31" t="s">
        <v>32</v>
      </c>
    </row>
    <row r="14" spans="10:11" x14ac:dyDescent="0.3">
      <c r="J14" s="31"/>
    </row>
    <row r="16" spans="10:11" x14ac:dyDescent="0.3">
      <c r="J16" s="30" t="s">
        <v>30</v>
      </c>
    </row>
    <row r="17" spans="10:10" x14ac:dyDescent="0.3">
      <c r="J17" s="31" t="s">
        <v>24</v>
      </c>
    </row>
    <row r="18" spans="10:10" x14ac:dyDescent="0.3">
      <c r="J18" s="31" t="s">
        <v>25</v>
      </c>
    </row>
    <row r="19" spans="10:10" x14ac:dyDescent="0.3">
      <c r="J19" s="31" t="s">
        <v>31</v>
      </c>
    </row>
    <row r="21" spans="10:10" x14ac:dyDescent="0.3">
      <c r="J21" s="31"/>
    </row>
    <row r="36" spans="2:10" ht="21" x14ac:dyDescent="0.4">
      <c r="B36" s="3" t="s">
        <v>7</v>
      </c>
      <c r="C36" s="3"/>
      <c r="D36" s="3"/>
    </row>
    <row r="37" spans="2:10" ht="21.75" customHeight="1" x14ac:dyDescent="0.3">
      <c r="B37" s="2" t="s">
        <v>8</v>
      </c>
      <c r="C37" s="2" t="s">
        <v>5</v>
      </c>
      <c r="D37" s="2" t="s">
        <v>4</v>
      </c>
      <c r="E37" s="2" t="s">
        <v>2</v>
      </c>
      <c r="F37" s="2" t="s">
        <v>9</v>
      </c>
      <c r="G37" s="2" t="s">
        <v>10</v>
      </c>
    </row>
    <row r="38" spans="2:10" s="16" customFormat="1" ht="10.199999999999999" x14ac:dyDescent="0.2">
      <c r="B38" s="13"/>
      <c r="C38" s="13"/>
      <c r="D38" s="14"/>
      <c r="E38" s="15"/>
      <c r="F38" s="14"/>
      <c r="G38" s="14"/>
      <c r="J38" s="17"/>
    </row>
    <row r="39" spans="2:10" ht="18" customHeight="1" x14ac:dyDescent="0.3">
      <c r="B39" s="9">
        <v>45658</v>
      </c>
      <c r="C39" s="9">
        <f t="shared" ref="C39:C47" si="0">B39+D39-1</f>
        <v>45777</v>
      </c>
      <c r="D39" s="10">
        <v>120</v>
      </c>
      <c r="E39" s="6" t="str">
        <f>"Planning"</f>
        <v>Planning</v>
      </c>
      <c r="F39" s="10">
        <v>50</v>
      </c>
      <c r="G39" s="10">
        <v>50</v>
      </c>
    </row>
    <row r="40" spans="2:10" ht="18" customHeight="1" x14ac:dyDescent="0.3">
      <c r="B40" s="9">
        <v>45762</v>
      </c>
      <c r="C40" s="9">
        <f t="shared" si="0"/>
        <v>45776</v>
      </c>
      <c r="D40" s="10">
        <v>15</v>
      </c>
      <c r="E40" s="6" t="str">
        <f>"Onboard Resources"</f>
        <v>Onboard Resources</v>
      </c>
      <c r="F40" s="10">
        <v>35</v>
      </c>
      <c r="G40" s="10">
        <f t="shared" ref="G40:G53" si="1">F40</f>
        <v>35</v>
      </c>
    </row>
    <row r="41" spans="2:10" ht="18" customHeight="1" x14ac:dyDescent="0.3">
      <c r="B41" s="9">
        <v>45778</v>
      </c>
      <c r="C41" s="9">
        <f t="shared" si="0"/>
        <v>45782</v>
      </c>
      <c r="D41" s="10">
        <v>5</v>
      </c>
      <c r="E41" s="6" t="str">
        <f>"Project Kickoff"</f>
        <v>Project Kickoff</v>
      </c>
      <c r="F41" s="10">
        <v>25</v>
      </c>
      <c r="G41" s="10">
        <f t="shared" si="1"/>
        <v>25</v>
      </c>
    </row>
    <row r="42" spans="2:10" ht="18" customHeight="1" x14ac:dyDescent="0.3">
      <c r="B42" s="9">
        <v>45778</v>
      </c>
      <c r="C42" s="9">
        <f t="shared" si="0"/>
        <v>45822</v>
      </c>
      <c r="D42" s="10">
        <v>45</v>
      </c>
      <c r="E42" s="6" t="str">
        <f>"Assessment"</f>
        <v>Assessment</v>
      </c>
      <c r="F42" s="10">
        <v>15</v>
      </c>
      <c r="G42" s="10">
        <f t="shared" si="1"/>
        <v>15</v>
      </c>
    </row>
    <row r="43" spans="2:10" ht="18" customHeight="1" x14ac:dyDescent="0.3">
      <c r="B43" s="9">
        <v>45809</v>
      </c>
      <c r="C43" s="9">
        <f t="shared" si="0"/>
        <v>45898</v>
      </c>
      <c r="D43" s="10">
        <v>90</v>
      </c>
      <c r="E43" s="6" t="str">
        <f>"Discovery"</f>
        <v>Discovery</v>
      </c>
      <c r="F43" s="10">
        <v>5</v>
      </c>
      <c r="G43" s="10">
        <f t="shared" si="1"/>
        <v>5</v>
      </c>
    </row>
    <row r="44" spans="2:10" ht="18" customHeight="1" x14ac:dyDescent="0.3">
      <c r="B44" s="9">
        <v>45870</v>
      </c>
      <c r="C44" s="9">
        <f t="shared" si="0"/>
        <v>45974</v>
      </c>
      <c r="D44" s="10">
        <v>105</v>
      </c>
      <c r="E44" s="6" t="str">
        <f>"Design &amp; Build"</f>
        <v>Design &amp; Build</v>
      </c>
      <c r="F44" s="10">
        <v>0</v>
      </c>
      <c r="G44" s="10">
        <f t="shared" si="1"/>
        <v>0</v>
      </c>
    </row>
    <row r="45" spans="2:10" ht="18" customHeight="1" x14ac:dyDescent="0.3">
      <c r="B45" s="9">
        <v>45962</v>
      </c>
      <c r="C45" s="9">
        <f t="shared" si="0"/>
        <v>45991</v>
      </c>
      <c r="D45" s="10">
        <v>30</v>
      </c>
      <c r="E45" s="6" t="str">
        <f>"EUAT"</f>
        <v>EUAT</v>
      </c>
      <c r="F45" s="10">
        <v>-10</v>
      </c>
      <c r="G45" s="10">
        <f t="shared" si="1"/>
        <v>-10</v>
      </c>
    </row>
    <row r="46" spans="2:10" ht="18" customHeight="1" x14ac:dyDescent="0.3">
      <c r="B46" s="9">
        <v>45992</v>
      </c>
      <c r="C46" s="9">
        <f t="shared" si="0"/>
        <v>46081</v>
      </c>
      <c r="D46" s="10">
        <v>90</v>
      </c>
      <c r="E46" s="6" t="str">
        <f>"Intergrated Testing"</f>
        <v>Intergrated Testing</v>
      </c>
      <c r="F46" s="10">
        <v>-15</v>
      </c>
      <c r="G46" s="10">
        <f t="shared" si="1"/>
        <v>-15</v>
      </c>
    </row>
    <row r="47" spans="2:10" ht="18" customHeight="1" x14ac:dyDescent="0.3">
      <c r="B47" s="9">
        <v>46023</v>
      </c>
      <c r="C47" s="9">
        <f t="shared" si="0"/>
        <v>46172</v>
      </c>
      <c r="D47" s="10">
        <v>150</v>
      </c>
      <c r="E47" s="6" t="str">
        <f>"Hardware"</f>
        <v>Hardware</v>
      </c>
      <c r="F47" s="10">
        <v>-20</v>
      </c>
      <c r="G47" s="10">
        <f t="shared" si="1"/>
        <v>-20</v>
      </c>
    </row>
    <row r="48" spans="2:10" ht="18" customHeight="1" x14ac:dyDescent="0.3">
      <c r="B48" s="9">
        <v>46113</v>
      </c>
      <c r="C48" s="9">
        <f t="shared" ref="C48:C51" si="2">B48+D48-1</f>
        <v>46157</v>
      </c>
      <c r="D48" s="10">
        <v>45</v>
      </c>
      <c r="E48" s="6" t="str">
        <f>"Training"</f>
        <v>Training</v>
      </c>
      <c r="F48" s="10">
        <f t="shared" ref="F48" si="3">F47-15</f>
        <v>-35</v>
      </c>
      <c r="G48" s="10">
        <f t="shared" si="1"/>
        <v>-35</v>
      </c>
    </row>
    <row r="49" spans="2:10" ht="18" customHeight="1" x14ac:dyDescent="0.3">
      <c r="B49" s="9">
        <v>46143</v>
      </c>
      <c r="C49" s="9">
        <f t="shared" si="2"/>
        <v>46172</v>
      </c>
      <c r="D49" s="10">
        <v>30</v>
      </c>
      <c r="E49" s="6" t="str">
        <f>"Dry Run"</f>
        <v>Dry Run</v>
      </c>
      <c r="F49" s="10">
        <v>-45</v>
      </c>
      <c r="G49" s="10">
        <f t="shared" si="1"/>
        <v>-45</v>
      </c>
    </row>
    <row r="50" spans="2:10" ht="18" customHeight="1" x14ac:dyDescent="0.3">
      <c r="B50" s="9">
        <v>46143</v>
      </c>
      <c r="C50" s="9">
        <f t="shared" si="2"/>
        <v>46143</v>
      </c>
      <c r="D50" s="10">
        <v>1</v>
      </c>
      <c r="E50" s="6" t="str">
        <f>"Scheduleing Go-Live"</f>
        <v>Scheduleing Go-Live</v>
      </c>
      <c r="F50" s="10">
        <v>-50</v>
      </c>
      <c r="G50" s="10">
        <f t="shared" si="1"/>
        <v>-50</v>
      </c>
    </row>
    <row r="51" spans="2:10" ht="18" customHeight="1" x14ac:dyDescent="0.3">
      <c r="B51" s="9">
        <v>46185</v>
      </c>
      <c r="C51" s="9">
        <f t="shared" si="2"/>
        <v>46185</v>
      </c>
      <c r="D51" s="10">
        <v>1</v>
      </c>
      <c r="E51" s="6" t="str">
        <f>"Cut Over"</f>
        <v>Cut Over</v>
      </c>
      <c r="F51" s="10">
        <v>-60</v>
      </c>
      <c r="G51" s="10">
        <f t="shared" si="1"/>
        <v>-60</v>
      </c>
    </row>
    <row r="52" spans="2:10" ht="18" customHeight="1" x14ac:dyDescent="0.3">
      <c r="B52" s="9">
        <v>46204</v>
      </c>
      <c r="C52" s="9">
        <f t="shared" ref="C52:C53" si="4">B52+D52-1</f>
        <v>46204</v>
      </c>
      <c r="D52" s="10">
        <v>1</v>
      </c>
      <c r="E52" s="6" t="str">
        <f>"Go-Live"</f>
        <v>Go-Live</v>
      </c>
      <c r="F52" s="10">
        <v>-70</v>
      </c>
      <c r="G52" s="10">
        <f t="shared" si="1"/>
        <v>-70</v>
      </c>
    </row>
    <row r="53" spans="2:10" ht="18" customHeight="1" x14ac:dyDescent="0.3">
      <c r="B53" s="9">
        <v>46235</v>
      </c>
      <c r="C53" s="9">
        <f t="shared" si="4"/>
        <v>46235</v>
      </c>
      <c r="D53" s="10">
        <v>1</v>
      </c>
      <c r="E53" s="6" t="str">
        <f>"Support"</f>
        <v>Support</v>
      </c>
      <c r="F53" s="10">
        <v>-80</v>
      </c>
      <c r="G53" s="10">
        <f t="shared" si="1"/>
        <v>-80</v>
      </c>
    </row>
    <row r="54" spans="2:10" ht="18" customHeight="1" x14ac:dyDescent="0.3">
      <c r="B54" s="9"/>
      <c r="C54" s="9"/>
      <c r="D54" s="10"/>
      <c r="E54" s="6"/>
      <c r="F54" s="10"/>
      <c r="G54" s="10"/>
    </row>
    <row r="55" spans="2:10" x14ac:dyDescent="0.3">
      <c r="B55" s="7"/>
      <c r="C55" s="7"/>
      <c r="D55" s="8"/>
      <c r="E55" s="12" t="s">
        <v>3</v>
      </c>
      <c r="F55" s="8"/>
      <c r="G55" s="8"/>
      <c r="J55" s="5"/>
    </row>
    <row r="57" spans="2:10" ht="21" x14ac:dyDescent="0.4">
      <c r="B57" s="3" t="s">
        <v>6</v>
      </c>
      <c r="C57" s="3"/>
      <c r="D57" s="3"/>
    </row>
    <row r="58" spans="2:10" ht="18" x14ac:dyDescent="0.3">
      <c r="B58" s="2" t="s">
        <v>0</v>
      </c>
      <c r="C58" s="2"/>
      <c r="D58" s="2"/>
      <c r="E58" s="2" t="s">
        <v>2</v>
      </c>
      <c r="F58" s="2" t="s">
        <v>1</v>
      </c>
    </row>
    <row r="59" spans="2:10" s="16" customFormat="1" ht="10.199999999999999" x14ac:dyDescent="0.2">
      <c r="B59" s="13"/>
      <c r="C59" s="13"/>
      <c r="D59" s="14"/>
      <c r="E59" s="15"/>
      <c r="F59" s="14"/>
    </row>
    <row r="60" spans="2:10" ht="18" customHeight="1" x14ac:dyDescent="0.3">
      <c r="B60" s="9">
        <v>45658</v>
      </c>
      <c r="C60" s="9"/>
      <c r="D60" s="10"/>
      <c r="E60" s="11" t="str">
        <f>"Start, "&amp;TEXT(B60,"mmm d")</f>
        <v>Start, Jan 1</v>
      </c>
      <c r="F60" s="10">
        <v>50</v>
      </c>
    </row>
    <row r="61" spans="2:10" ht="18" customHeight="1" x14ac:dyDescent="0.3">
      <c r="B61" s="9">
        <v>45748</v>
      </c>
      <c r="C61" s="9"/>
      <c r="D61" s="10"/>
      <c r="E61" s="11" t="s">
        <v>52</v>
      </c>
      <c r="F61" s="10">
        <v>50</v>
      </c>
    </row>
    <row r="62" spans="2:10" ht="18" customHeight="1" x14ac:dyDescent="0.3">
      <c r="B62" s="9">
        <v>45839</v>
      </c>
      <c r="C62" s="9"/>
      <c r="D62" s="10"/>
      <c r="E62" s="11" t="s">
        <v>53</v>
      </c>
      <c r="F62" s="10">
        <v>50</v>
      </c>
    </row>
    <row r="63" spans="2:10" ht="18" customHeight="1" x14ac:dyDescent="0.3">
      <c r="B63" s="9">
        <v>45931</v>
      </c>
      <c r="C63" s="9"/>
      <c r="D63" s="10"/>
      <c r="E63" s="11" t="s">
        <v>54</v>
      </c>
      <c r="F63" s="10">
        <v>50</v>
      </c>
      <c r="J63" s="4"/>
    </row>
    <row r="64" spans="2:10" ht="18" customHeight="1" x14ac:dyDescent="0.3">
      <c r="B64" s="9">
        <v>46023</v>
      </c>
      <c r="C64" s="9"/>
      <c r="D64" s="10"/>
      <c r="E64" s="11" t="s">
        <v>55</v>
      </c>
      <c r="F64" s="10">
        <v>50</v>
      </c>
      <c r="J64" s="4"/>
    </row>
    <row r="65" spans="2:10" ht="18" customHeight="1" x14ac:dyDescent="0.3">
      <c r="B65" s="9"/>
      <c r="C65" s="9"/>
      <c r="D65" s="10"/>
      <c r="E65" s="11"/>
      <c r="F65" s="10"/>
      <c r="J65" s="4"/>
    </row>
    <row r="66" spans="2:10" ht="18" customHeight="1" x14ac:dyDescent="0.3">
      <c r="B66" s="9"/>
      <c r="C66" s="9"/>
      <c r="D66" s="10"/>
      <c r="E66" s="11"/>
      <c r="F66" s="10"/>
      <c r="J66" s="4"/>
    </row>
    <row r="67" spans="2:10" x14ac:dyDescent="0.3">
      <c r="B67" s="7"/>
      <c r="C67" s="7"/>
      <c r="D67" s="8"/>
      <c r="E67" s="12" t="s">
        <v>3</v>
      </c>
      <c r="F67" s="8"/>
      <c r="J67" s="5"/>
    </row>
  </sheetData>
  <hyperlinks>
    <hyperlink ref="J5" r:id="rId1" xr:uid="{67E67E12-339E-49C8-AAAC-2BC2D8E201AE}"/>
    <hyperlink ref="J4" r:id="rId2" xr:uid="{19138F53-77EE-4C8C-8E6E-F4F4F9A6181B}"/>
  </hyperlinks>
  <pageMargins left="0.35" right="0.35" top="0.5" bottom="0.5" header="0.25" footer="0.25"/>
  <pageSetup fitToHeight="0"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DEB71-5F60-420F-B89F-C675D229EDE0}">
  <dimension ref="A1:J102"/>
  <sheetViews>
    <sheetView tabSelected="1" topLeftCell="A3" workbookViewId="0">
      <selection activeCell="B11" sqref="B11"/>
    </sheetView>
  </sheetViews>
  <sheetFormatPr defaultRowHeight="43.8" customHeight="1" x14ac:dyDescent="0.3"/>
  <cols>
    <col min="2" max="2" width="42.6640625" customWidth="1"/>
    <col min="3" max="3" width="33.88671875" customWidth="1"/>
    <col min="4" max="4" width="26" customWidth="1"/>
    <col min="5" max="5" width="38.88671875" style="32" customWidth="1"/>
    <col min="6" max="6" width="18.44140625" bestFit="1" customWidth="1"/>
    <col min="7" max="7" width="17.88671875" bestFit="1" customWidth="1"/>
    <col min="8" max="8" width="8.33203125" bestFit="1" customWidth="1"/>
    <col min="9" max="9" width="28.21875" customWidth="1"/>
  </cols>
  <sheetData>
    <row r="1" spans="1:10" ht="43.8" customHeight="1" x14ac:dyDescent="0.3">
      <c r="A1" s="58" t="s">
        <v>74</v>
      </c>
      <c r="B1" s="59" t="s">
        <v>75</v>
      </c>
      <c r="C1" s="60" t="s">
        <v>76</v>
      </c>
      <c r="D1" s="60" t="s">
        <v>77</v>
      </c>
      <c r="E1" s="59" t="s">
        <v>78</v>
      </c>
      <c r="F1" s="61" t="s">
        <v>79</v>
      </c>
      <c r="G1" s="61" t="s">
        <v>80</v>
      </c>
      <c r="H1" s="61" t="s">
        <v>81</v>
      </c>
      <c r="I1" s="60" t="s">
        <v>82</v>
      </c>
      <c r="J1" s="62" t="s">
        <v>83</v>
      </c>
    </row>
    <row r="2" spans="1:10" ht="43.8" customHeight="1" x14ac:dyDescent="0.3">
      <c r="B2" s="63" t="s">
        <v>281</v>
      </c>
      <c r="C2" s="64"/>
      <c r="D2" s="64"/>
      <c r="E2" s="117"/>
      <c r="F2" s="65"/>
      <c r="G2" s="65"/>
      <c r="H2" s="65"/>
      <c r="I2" s="64"/>
    </row>
    <row r="3" spans="1:10" ht="43.8" customHeight="1" x14ac:dyDescent="0.3">
      <c r="B3" s="66" t="s">
        <v>282</v>
      </c>
      <c r="C3" s="67" t="s">
        <v>283</v>
      </c>
      <c r="D3" s="130" t="s">
        <v>293</v>
      </c>
      <c r="E3" s="120" t="s">
        <v>86</v>
      </c>
      <c r="F3" s="66"/>
      <c r="G3" s="66"/>
      <c r="H3" s="69"/>
      <c r="I3" s="70"/>
    </row>
    <row r="4" spans="1:10" ht="43.8" customHeight="1" x14ac:dyDescent="0.3">
      <c r="B4" s="131" t="s">
        <v>294</v>
      </c>
      <c r="C4" s="71"/>
      <c r="D4" s="130" t="s">
        <v>293</v>
      </c>
      <c r="E4" s="120" t="s">
        <v>299</v>
      </c>
      <c r="F4" s="66"/>
      <c r="G4" s="66"/>
      <c r="H4" s="69"/>
      <c r="I4" s="70" t="s">
        <v>295</v>
      </c>
    </row>
    <row r="5" spans="1:10" ht="43.8" customHeight="1" x14ac:dyDescent="0.3">
      <c r="B5" s="67" t="s">
        <v>291</v>
      </c>
      <c r="C5" s="72" t="s">
        <v>292</v>
      </c>
      <c r="D5" s="68"/>
      <c r="E5" s="118" t="s">
        <v>296</v>
      </c>
      <c r="F5" s="66"/>
      <c r="G5" s="66"/>
      <c r="H5" s="69"/>
      <c r="I5" s="70"/>
    </row>
    <row r="6" spans="1:10" ht="43.8" customHeight="1" x14ac:dyDescent="0.3">
      <c r="B6" s="66" t="s">
        <v>284</v>
      </c>
      <c r="C6" s="71" t="s">
        <v>285</v>
      </c>
      <c r="D6" s="130" t="s">
        <v>287</v>
      </c>
      <c r="E6" s="118" t="s">
        <v>296</v>
      </c>
      <c r="F6" s="66"/>
      <c r="G6" s="66"/>
      <c r="H6" s="69"/>
      <c r="I6" s="70"/>
    </row>
    <row r="7" spans="1:10" ht="43.8" customHeight="1" x14ac:dyDescent="0.3">
      <c r="B7" s="129" t="s">
        <v>288</v>
      </c>
      <c r="C7" s="72" t="s">
        <v>289</v>
      </c>
      <c r="D7" s="130" t="s">
        <v>290</v>
      </c>
      <c r="E7" s="118" t="s">
        <v>296</v>
      </c>
      <c r="F7" s="66"/>
      <c r="G7" s="66"/>
      <c r="H7" s="69"/>
      <c r="I7" s="70"/>
    </row>
    <row r="8" spans="1:10" ht="43.8" customHeight="1" x14ac:dyDescent="0.3">
      <c r="B8" s="73" t="s">
        <v>87</v>
      </c>
      <c r="C8" s="64"/>
      <c r="D8" s="64"/>
      <c r="E8" s="117"/>
      <c r="F8" s="74"/>
      <c r="G8" s="74"/>
      <c r="H8" s="74"/>
      <c r="I8" s="75"/>
    </row>
    <row r="9" spans="1:10" ht="43.8" customHeight="1" x14ac:dyDescent="0.3">
      <c r="B9" s="92" t="s">
        <v>88</v>
      </c>
      <c r="C9" s="77"/>
      <c r="D9" s="78" t="s">
        <v>286</v>
      </c>
      <c r="E9" s="119" t="s">
        <v>298</v>
      </c>
      <c r="F9" s="66"/>
      <c r="G9" s="70"/>
      <c r="H9" s="79"/>
      <c r="I9" s="78"/>
    </row>
    <row r="10" spans="1:10" ht="43.8" customHeight="1" x14ac:dyDescent="0.3">
      <c r="B10" s="80" t="s">
        <v>297</v>
      </c>
      <c r="C10" s="78"/>
      <c r="E10" s="119"/>
      <c r="F10" s="81"/>
      <c r="G10" s="81"/>
      <c r="H10" s="79"/>
      <c r="I10" s="78"/>
    </row>
    <row r="11" spans="1:10" ht="43.8" customHeight="1" x14ac:dyDescent="0.3">
      <c r="B11" s="76" t="s">
        <v>90</v>
      </c>
      <c r="C11" s="78"/>
      <c r="D11" s="78"/>
      <c r="E11" s="120" t="s">
        <v>91</v>
      </c>
      <c r="F11" s="66"/>
      <c r="G11" s="70"/>
      <c r="H11" s="79"/>
      <c r="I11" s="78"/>
    </row>
    <row r="12" spans="1:10" ht="43.8" customHeight="1" x14ac:dyDescent="0.3">
      <c r="B12" s="76" t="s">
        <v>92</v>
      </c>
      <c r="C12" s="82" t="s">
        <v>93</v>
      </c>
      <c r="D12" s="78"/>
      <c r="E12" s="119" t="s">
        <v>86</v>
      </c>
      <c r="F12" s="66"/>
      <c r="G12" s="70"/>
      <c r="H12" s="79"/>
      <c r="I12" s="78"/>
    </row>
    <row r="13" spans="1:10" ht="43.8" customHeight="1" x14ac:dyDescent="0.3">
      <c r="B13" s="83" t="s">
        <v>94</v>
      </c>
      <c r="C13" s="84"/>
      <c r="D13" s="75"/>
      <c r="E13" s="121"/>
      <c r="F13" s="85"/>
      <c r="G13" s="85"/>
      <c r="H13" s="85"/>
      <c r="I13" s="85"/>
    </row>
    <row r="14" spans="1:10" ht="43.8" customHeight="1" x14ac:dyDescent="0.3">
      <c r="B14" s="76" t="s">
        <v>95</v>
      </c>
      <c r="C14" s="86" t="s">
        <v>96</v>
      </c>
      <c r="D14" s="78" t="s">
        <v>89</v>
      </c>
      <c r="E14" s="122" t="s">
        <v>85</v>
      </c>
      <c r="F14" s="70" t="s">
        <v>84</v>
      </c>
      <c r="G14" s="70" t="s">
        <v>97</v>
      </c>
      <c r="H14" s="87"/>
      <c r="I14" s="87"/>
    </row>
    <row r="15" spans="1:10" ht="43.8" customHeight="1" x14ac:dyDescent="0.3">
      <c r="B15" s="80" t="s">
        <v>98</v>
      </c>
      <c r="C15" s="86"/>
      <c r="D15" s="78"/>
      <c r="E15" s="119"/>
      <c r="F15" s="70"/>
      <c r="G15" s="70"/>
      <c r="H15" s="87"/>
      <c r="I15" s="87" t="s">
        <v>99</v>
      </c>
    </row>
    <row r="16" spans="1:10" ht="43.8" customHeight="1" x14ac:dyDescent="0.3">
      <c r="B16" s="80" t="s">
        <v>100</v>
      </c>
      <c r="C16" s="86" t="s">
        <v>101</v>
      </c>
      <c r="D16" s="78" t="s">
        <v>102</v>
      </c>
      <c r="E16" s="119"/>
      <c r="F16" s="87"/>
      <c r="G16" s="87"/>
      <c r="H16" s="87"/>
      <c r="I16" s="87"/>
    </row>
    <row r="17" spans="2:9" ht="43.8" customHeight="1" x14ac:dyDescent="0.3">
      <c r="B17" s="80" t="s">
        <v>103</v>
      </c>
      <c r="C17" s="86"/>
      <c r="D17" s="78"/>
      <c r="E17" s="119"/>
      <c r="F17" s="70"/>
      <c r="G17" s="70"/>
      <c r="H17" s="87"/>
      <c r="I17" s="87"/>
    </row>
    <row r="18" spans="2:9" ht="43.8" customHeight="1" x14ac:dyDescent="0.3">
      <c r="B18" s="80" t="s">
        <v>104</v>
      </c>
      <c r="C18" s="86" t="s">
        <v>105</v>
      </c>
      <c r="D18" s="78"/>
      <c r="E18" s="119"/>
      <c r="F18" s="87"/>
      <c r="G18" s="87"/>
      <c r="H18" s="87"/>
      <c r="I18" s="87"/>
    </row>
    <row r="19" spans="2:9" ht="43.8" customHeight="1" x14ac:dyDescent="0.3">
      <c r="B19" s="80" t="s">
        <v>106</v>
      </c>
      <c r="C19" s="86" t="s">
        <v>107</v>
      </c>
      <c r="D19" s="78" t="s">
        <v>89</v>
      </c>
      <c r="E19" s="119"/>
      <c r="F19" s="87"/>
      <c r="G19" s="87"/>
      <c r="H19" s="87"/>
      <c r="I19" s="87" t="s">
        <v>108</v>
      </c>
    </row>
    <row r="20" spans="2:9" ht="43.8" customHeight="1" x14ac:dyDescent="0.3">
      <c r="B20" s="80" t="s">
        <v>109</v>
      </c>
      <c r="C20" s="86" t="s">
        <v>110</v>
      </c>
      <c r="D20" s="78"/>
      <c r="E20" s="119"/>
      <c r="F20" s="70"/>
      <c r="G20" s="70"/>
      <c r="H20" s="87"/>
      <c r="I20" s="87" t="s">
        <v>108</v>
      </c>
    </row>
    <row r="21" spans="2:9" ht="43.8" customHeight="1" x14ac:dyDescent="0.3">
      <c r="B21" s="88" t="s">
        <v>111</v>
      </c>
      <c r="C21" s="89" t="s">
        <v>112</v>
      </c>
      <c r="D21" s="78"/>
      <c r="E21" s="119" t="s">
        <v>86</v>
      </c>
      <c r="F21" s="70" t="s">
        <v>84</v>
      </c>
      <c r="G21" s="70" t="s">
        <v>97</v>
      </c>
      <c r="H21" s="87"/>
      <c r="I21" s="87"/>
    </row>
    <row r="22" spans="2:9" ht="43.8" customHeight="1" x14ac:dyDescent="0.3">
      <c r="B22" s="76" t="s">
        <v>113</v>
      </c>
      <c r="C22" s="86" t="s">
        <v>114</v>
      </c>
      <c r="D22" s="78" t="s">
        <v>89</v>
      </c>
      <c r="E22" s="119" t="s">
        <v>86</v>
      </c>
      <c r="F22" s="70" t="s">
        <v>84</v>
      </c>
      <c r="G22" s="70" t="s">
        <v>97</v>
      </c>
      <c r="H22" s="87"/>
      <c r="I22" s="87" t="s">
        <v>115</v>
      </c>
    </row>
    <row r="23" spans="2:9" ht="43.8" customHeight="1" x14ac:dyDescent="0.3">
      <c r="B23" s="83" t="s">
        <v>116</v>
      </c>
      <c r="C23" s="90"/>
      <c r="D23" s="90"/>
      <c r="E23" s="123"/>
      <c r="F23" s="85"/>
      <c r="G23" s="85"/>
      <c r="H23" s="85"/>
      <c r="I23" s="85"/>
    </row>
    <row r="24" spans="2:9" ht="43.8" customHeight="1" x14ac:dyDescent="0.3">
      <c r="B24" s="91" t="s">
        <v>117</v>
      </c>
      <c r="C24" s="86" t="s">
        <v>118</v>
      </c>
      <c r="D24" s="92" t="s">
        <v>89</v>
      </c>
      <c r="E24" s="119" t="s">
        <v>97</v>
      </c>
      <c r="F24" s="92" t="s">
        <v>97</v>
      </c>
      <c r="G24" s="92" t="s">
        <v>119</v>
      </c>
      <c r="H24" s="87"/>
      <c r="I24" s="87"/>
    </row>
    <row r="25" spans="2:9" ht="43.8" customHeight="1" x14ac:dyDescent="0.3">
      <c r="B25" s="93" t="s">
        <v>120</v>
      </c>
      <c r="C25" s="86" t="s">
        <v>121</v>
      </c>
      <c r="D25" s="92" t="s">
        <v>89</v>
      </c>
      <c r="F25" s="87"/>
      <c r="G25" s="87"/>
      <c r="H25" s="87"/>
      <c r="I25" s="87" t="s">
        <v>122</v>
      </c>
    </row>
    <row r="26" spans="2:9" ht="43.8" customHeight="1" x14ac:dyDescent="0.3">
      <c r="B26" s="91" t="s">
        <v>123</v>
      </c>
      <c r="C26" s="92"/>
      <c r="D26" s="92"/>
      <c r="E26" s="124" t="s">
        <v>97</v>
      </c>
      <c r="F26" s="92" t="s">
        <v>97</v>
      </c>
      <c r="G26" s="87" t="s">
        <v>91</v>
      </c>
      <c r="H26" s="87"/>
      <c r="I26" s="87"/>
    </row>
    <row r="27" spans="2:9" ht="43.8" customHeight="1" x14ac:dyDescent="0.3">
      <c r="B27" s="93" t="s">
        <v>124</v>
      </c>
      <c r="C27" s="89"/>
      <c r="D27" s="92" t="s">
        <v>89</v>
      </c>
      <c r="E27" s="125"/>
      <c r="G27" s="87"/>
      <c r="H27" s="87"/>
      <c r="I27" s="87"/>
    </row>
    <row r="28" spans="2:9" ht="43.8" customHeight="1" x14ac:dyDescent="0.3">
      <c r="B28" s="93" t="s">
        <v>125</v>
      </c>
      <c r="C28" s="89" t="s">
        <v>126</v>
      </c>
      <c r="D28" s="92" t="s">
        <v>89</v>
      </c>
      <c r="E28" s="124"/>
      <c r="F28" s="87"/>
      <c r="G28" s="87"/>
      <c r="H28" s="87"/>
      <c r="I28" s="87"/>
    </row>
    <row r="29" spans="2:9" ht="43.8" customHeight="1" x14ac:dyDescent="0.3">
      <c r="B29" s="93" t="s">
        <v>127</v>
      </c>
      <c r="C29" s="89" t="s">
        <v>128</v>
      </c>
      <c r="D29" s="92" t="s">
        <v>89</v>
      </c>
      <c r="E29" s="119"/>
      <c r="F29" s="87"/>
      <c r="G29" s="87"/>
      <c r="H29" s="87"/>
      <c r="I29" s="87" t="s">
        <v>108</v>
      </c>
    </row>
    <row r="30" spans="2:9" ht="43.8" customHeight="1" x14ac:dyDescent="0.3">
      <c r="B30" s="94" t="s">
        <v>129</v>
      </c>
      <c r="C30" s="89" t="s">
        <v>130</v>
      </c>
      <c r="D30" s="92" t="s">
        <v>131</v>
      </c>
      <c r="E30" s="119"/>
      <c r="F30" s="66" t="s">
        <v>97</v>
      </c>
      <c r="G30" s="92" t="s">
        <v>91</v>
      </c>
      <c r="H30" s="87"/>
      <c r="I30" s="87"/>
    </row>
    <row r="31" spans="2:9" ht="43.8" customHeight="1" x14ac:dyDescent="0.3">
      <c r="B31" s="95" t="s">
        <v>132</v>
      </c>
      <c r="C31" s="89"/>
      <c r="D31" s="92"/>
      <c r="E31" s="124"/>
      <c r="F31" s="87"/>
      <c r="G31" s="87"/>
      <c r="H31" s="87"/>
      <c r="I31" s="87"/>
    </row>
    <row r="32" spans="2:9" ht="43.8" customHeight="1" x14ac:dyDescent="0.3">
      <c r="B32" s="95" t="s">
        <v>133</v>
      </c>
      <c r="C32" s="86" t="s">
        <v>134</v>
      </c>
      <c r="D32" s="92"/>
      <c r="E32" s="124"/>
      <c r="F32" s="87"/>
      <c r="G32" s="87"/>
      <c r="H32" s="87"/>
      <c r="I32" s="87"/>
    </row>
    <row r="33" spans="2:9" ht="43.8" customHeight="1" x14ac:dyDescent="0.3">
      <c r="B33" s="95" t="s">
        <v>135</v>
      </c>
      <c r="C33" s="92" t="s">
        <v>136</v>
      </c>
      <c r="D33" s="92" t="s">
        <v>131</v>
      </c>
      <c r="E33" s="124"/>
      <c r="F33" s="87"/>
      <c r="G33" s="87"/>
      <c r="H33" s="87"/>
      <c r="I33" s="87"/>
    </row>
    <row r="34" spans="2:9" ht="43.8" customHeight="1" x14ac:dyDescent="0.3">
      <c r="B34" s="95" t="s">
        <v>137</v>
      </c>
      <c r="C34" s="96" t="s">
        <v>138</v>
      </c>
      <c r="D34" s="92"/>
      <c r="E34" s="124"/>
      <c r="F34" s="87"/>
      <c r="G34" s="87"/>
      <c r="H34" s="87"/>
      <c r="I34" s="87"/>
    </row>
    <row r="35" spans="2:9" ht="43.8" customHeight="1" x14ac:dyDescent="0.3">
      <c r="B35" s="97" t="s">
        <v>139</v>
      </c>
      <c r="C35" s="86" t="s">
        <v>140</v>
      </c>
      <c r="D35" s="92" t="s">
        <v>141</v>
      </c>
      <c r="E35" s="124"/>
      <c r="F35" s="87"/>
      <c r="G35" s="87"/>
      <c r="H35" s="87"/>
      <c r="I35" s="87"/>
    </row>
    <row r="36" spans="2:9" ht="43.8" customHeight="1" x14ac:dyDescent="0.3">
      <c r="B36" s="93" t="s">
        <v>142</v>
      </c>
      <c r="C36" s="86"/>
      <c r="D36" s="92" t="s">
        <v>143</v>
      </c>
      <c r="E36" s="124"/>
      <c r="F36" s="87"/>
      <c r="G36" s="87"/>
      <c r="H36" s="87"/>
      <c r="I36" s="87"/>
    </row>
    <row r="37" spans="2:9" ht="43.8" customHeight="1" x14ac:dyDescent="0.3">
      <c r="B37" s="91" t="s">
        <v>144</v>
      </c>
      <c r="C37" s="86"/>
      <c r="D37" s="92" t="s">
        <v>145</v>
      </c>
      <c r="E37" s="119" t="s">
        <v>91</v>
      </c>
      <c r="F37" s="66" t="s">
        <v>97</v>
      </c>
      <c r="G37" s="66" t="s">
        <v>146</v>
      </c>
      <c r="H37" s="87"/>
      <c r="I37" s="87"/>
    </row>
    <row r="38" spans="2:9" ht="43.8" customHeight="1" x14ac:dyDescent="0.3">
      <c r="B38" s="95" t="s">
        <v>147</v>
      </c>
      <c r="C38" s="86" t="s">
        <v>148</v>
      </c>
      <c r="D38" s="92" t="s">
        <v>149</v>
      </c>
      <c r="E38" s="124"/>
      <c r="F38" s="87"/>
      <c r="G38" s="87"/>
      <c r="H38" s="87"/>
      <c r="I38" s="87" t="s">
        <v>150</v>
      </c>
    </row>
    <row r="39" spans="2:9" ht="43.8" customHeight="1" x14ac:dyDescent="0.3">
      <c r="B39" s="98" t="s">
        <v>151</v>
      </c>
      <c r="C39" s="70" t="s">
        <v>152</v>
      </c>
      <c r="D39" s="92" t="s">
        <v>89</v>
      </c>
      <c r="E39" s="119"/>
      <c r="F39" s="66"/>
      <c r="G39" s="66"/>
      <c r="H39" s="87"/>
      <c r="I39" s="87" t="s">
        <v>153</v>
      </c>
    </row>
    <row r="40" spans="2:9" ht="43.8" customHeight="1" x14ac:dyDescent="0.3">
      <c r="B40" s="98" t="s">
        <v>154</v>
      </c>
      <c r="C40" s="70" t="s">
        <v>155</v>
      </c>
      <c r="D40" s="92" t="s">
        <v>156</v>
      </c>
      <c r="E40" s="119"/>
      <c r="F40" s="66"/>
      <c r="G40" s="66"/>
      <c r="H40" s="87"/>
      <c r="I40" s="87"/>
    </row>
    <row r="41" spans="2:9" ht="43.8" customHeight="1" x14ac:dyDescent="0.3">
      <c r="B41" s="98" t="s">
        <v>157</v>
      </c>
      <c r="C41" s="99" t="s">
        <v>158</v>
      </c>
      <c r="D41" s="92" t="s">
        <v>89</v>
      </c>
      <c r="E41" s="125"/>
      <c r="F41" s="87"/>
      <c r="G41" s="87"/>
      <c r="H41" s="87"/>
      <c r="I41" s="87" t="s">
        <v>108</v>
      </c>
    </row>
    <row r="42" spans="2:9" ht="43.8" customHeight="1" x14ac:dyDescent="0.3">
      <c r="B42" s="98" t="s">
        <v>159</v>
      </c>
      <c r="C42" s="99" t="s">
        <v>160</v>
      </c>
      <c r="D42" s="92" t="s">
        <v>161</v>
      </c>
      <c r="E42" s="125"/>
      <c r="F42" s="87"/>
      <c r="G42" s="87"/>
      <c r="H42" s="87"/>
      <c r="I42" s="87" t="s">
        <v>162</v>
      </c>
    </row>
    <row r="43" spans="2:9" ht="43.8" customHeight="1" x14ac:dyDescent="0.3">
      <c r="B43" s="98" t="s">
        <v>163</v>
      </c>
      <c r="C43" s="70" t="s">
        <v>164</v>
      </c>
      <c r="D43" s="92" t="s">
        <v>161</v>
      </c>
      <c r="E43" s="119"/>
      <c r="F43" s="66"/>
      <c r="G43" s="66"/>
      <c r="H43" s="87"/>
      <c r="I43" s="87"/>
    </row>
    <row r="44" spans="2:9" ht="43.8" customHeight="1" x14ac:dyDescent="0.3">
      <c r="B44" s="98" t="s">
        <v>165</v>
      </c>
      <c r="C44" s="70"/>
      <c r="D44" s="92" t="s">
        <v>161</v>
      </c>
      <c r="E44" s="119"/>
      <c r="F44" s="66"/>
      <c r="G44" s="66"/>
      <c r="H44" s="87"/>
      <c r="I44" s="87"/>
    </row>
    <row r="45" spans="2:9" ht="43.8" customHeight="1" x14ac:dyDescent="0.3">
      <c r="B45" s="98" t="s">
        <v>166</v>
      </c>
      <c r="C45" s="70" t="s">
        <v>167</v>
      </c>
      <c r="D45" s="92" t="s">
        <v>161</v>
      </c>
      <c r="E45" s="119"/>
      <c r="F45" s="66"/>
      <c r="G45" s="66"/>
      <c r="H45" s="87"/>
      <c r="I45" s="87"/>
    </row>
    <row r="46" spans="2:9" ht="43.8" customHeight="1" x14ac:dyDescent="0.3">
      <c r="B46" s="98" t="s">
        <v>168</v>
      </c>
      <c r="C46" s="70" t="s">
        <v>169</v>
      </c>
      <c r="D46" s="92" t="s">
        <v>102</v>
      </c>
      <c r="E46" s="125"/>
      <c r="F46" s="87"/>
      <c r="G46" s="87"/>
      <c r="H46" s="87"/>
      <c r="I46" s="87"/>
    </row>
    <row r="47" spans="2:9" ht="43.8" customHeight="1" x14ac:dyDescent="0.3">
      <c r="B47" s="98" t="s">
        <v>170</v>
      </c>
      <c r="C47" s="70" t="s">
        <v>171</v>
      </c>
      <c r="D47" s="92" t="s">
        <v>131</v>
      </c>
      <c r="E47" s="125"/>
      <c r="F47" s="66"/>
      <c r="G47" s="66"/>
      <c r="H47" s="87"/>
      <c r="I47" s="87"/>
    </row>
    <row r="48" spans="2:9" ht="43.8" customHeight="1" x14ac:dyDescent="0.3">
      <c r="B48" s="98" t="s">
        <v>172</v>
      </c>
      <c r="C48" s="70" t="s">
        <v>173</v>
      </c>
      <c r="D48" s="92" t="s">
        <v>131</v>
      </c>
      <c r="E48" s="119"/>
      <c r="F48" s="66"/>
      <c r="G48" s="66"/>
      <c r="H48" s="87"/>
      <c r="I48" s="87"/>
    </row>
    <row r="49" spans="2:9" ht="43.8" customHeight="1" x14ac:dyDescent="0.3">
      <c r="B49" s="100" t="s">
        <v>174</v>
      </c>
      <c r="C49" s="70"/>
      <c r="D49" s="92" t="s">
        <v>89</v>
      </c>
      <c r="E49" s="125" t="s">
        <v>119</v>
      </c>
      <c r="F49" s="87" t="s">
        <v>175</v>
      </c>
      <c r="G49" s="87" t="s">
        <v>119</v>
      </c>
      <c r="H49" s="87"/>
      <c r="I49" s="87"/>
    </row>
    <row r="50" spans="2:9" ht="43.8" customHeight="1" x14ac:dyDescent="0.3">
      <c r="B50" s="98" t="s">
        <v>176</v>
      </c>
      <c r="C50" s="70" t="s">
        <v>177</v>
      </c>
      <c r="D50" s="92"/>
      <c r="E50" s="125"/>
      <c r="F50" s="87"/>
      <c r="G50" s="87"/>
      <c r="H50" s="87"/>
      <c r="I50" s="101" t="s">
        <v>178</v>
      </c>
    </row>
    <row r="51" spans="2:9" ht="43.8" customHeight="1" x14ac:dyDescent="0.3">
      <c r="B51" s="98" t="s">
        <v>179</v>
      </c>
      <c r="C51" s="70" t="s">
        <v>180</v>
      </c>
      <c r="D51" s="92" t="s">
        <v>181</v>
      </c>
      <c r="E51" s="125"/>
      <c r="F51" s="87"/>
      <c r="G51" s="87"/>
      <c r="H51" s="87"/>
      <c r="I51" s="87"/>
    </row>
    <row r="52" spans="2:9" ht="43.8" customHeight="1" x14ac:dyDescent="0.3">
      <c r="B52" s="98" t="s">
        <v>182</v>
      </c>
      <c r="C52" s="102" t="s">
        <v>183</v>
      </c>
      <c r="D52" s="92" t="s">
        <v>89</v>
      </c>
      <c r="E52" s="125"/>
      <c r="F52" s="87"/>
      <c r="G52" s="87"/>
      <c r="H52" s="87"/>
      <c r="I52" s="87"/>
    </row>
    <row r="53" spans="2:9" ht="43.8" customHeight="1" x14ac:dyDescent="0.3">
      <c r="B53" s="100" t="s">
        <v>184</v>
      </c>
      <c r="C53" s="70"/>
      <c r="D53" s="92" t="s">
        <v>185</v>
      </c>
      <c r="E53" s="125" t="s">
        <v>119</v>
      </c>
      <c r="F53" s="87" t="s">
        <v>91</v>
      </c>
      <c r="G53" s="87" t="s">
        <v>91</v>
      </c>
      <c r="H53" s="87"/>
      <c r="I53" s="87"/>
    </row>
    <row r="54" spans="2:9" ht="43.8" customHeight="1" x14ac:dyDescent="0.3">
      <c r="B54" s="98" t="s">
        <v>186</v>
      </c>
      <c r="C54" s="92" t="s">
        <v>187</v>
      </c>
      <c r="D54" s="92" t="s">
        <v>188</v>
      </c>
      <c r="E54" s="119"/>
      <c r="F54" s="87"/>
      <c r="G54" s="87"/>
      <c r="H54" s="87"/>
      <c r="I54" s="87"/>
    </row>
    <row r="55" spans="2:9" ht="43.8" customHeight="1" x14ac:dyDescent="0.3">
      <c r="B55" s="98" t="s">
        <v>189</v>
      </c>
      <c r="C55" s="70" t="s">
        <v>190</v>
      </c>
      <c r="D55" s="92" t="s">
        <v>185</v>
      </c>
      <c r="E55" s="119"/>
      <c r="F55" s="87"/>
      <c r="G55" s="87"/>
      <c r="H55" s="87"/>
      <c r="I55" s="87"/>
    </row>
    <row r="56" spans="2:9" ht="43.8" customHeight="1" x14ac:dyDescent="0.3">
      <c r="B56" s="98" t="s">
        <v>191</v>
      </c>
      <c r="C56" s="70" t="s">
        <v>192</v>
      </c>
      <c r="D56" s="92" t="s">
        <v>185</v>
      </c>
      <c r="E56" s="125"/>
      <c r="F56" s="87"/>
      <c r="G56" s="87"/>
      <c r="H56" s="87"/>
      <c r="I56" s="87" t="s">
        <v>122</v>
      </c>
    </row>
    <row r="57" spans="2:9" ht="43.8" customHeight="1" x14ac:dyDescent="0.3">
      <c r="B57" s="98" t="s">
        <v>193</v>
      </c>
      <c r="C57" s="70" t="s">
        <v>192</v>
      </c>
      <c r="D57" s="92" t="s">
        <v>89</v>
      </c>
      <c r="E57" s="125"/>
      <c r="F57" s="87"/>
      <c r="G57" s="87"/>
      <c r="H57" s="87"/>
      <c r="I57" s="87" t="s">
        <v>122</v>
      </c>
    </row>
    <row r="58" spans="2:9" ht="43.8" customHeight="1" x14ac:dyDescent="0.3">
      <c r="B58" s="98" t="s">
        <v>194</v>
      </c>
      <c r="C58" s="70" t="s">
        <v>192</v>
      </c>
      <c r="D58" s="92" t="s">
        <v>89</v>
      </c>
      <c r="E58" s="125"/>
      <c r="F58" s="87"/>
      <c r="G58" s="87"/>
      <c r="H58" s="87"/>
      <c r="I58" s="87" t="s">
        <v>122</v>
      </c>
    </row>
    <row r="59" spans="2:9" ht="43.8" customHeight="1" x14ac:dyDescent="0.3">
      <c r="B59" s="98" t="s">
        <v>195</v>
      </c>
      <c r="C59" s="70" t="s">
        <v>192</v>
      </c>
      <c r="D59" s="92" t="s">
        <v>89</v>
      </c>
      <c r="E59" s="125"/>
      <c r="F59" s="87"/>
      <c r="G59" s="87"/>
      <c r="H59" s="87"/>
      <c r="I59" s="87" t="s">
        <v>122</v>
      </c>
    </row>
    <row r="60" spans="2:9" ht="43.8" customHeight="1" x14ac:dyDescent="0.3">
      <c r="B60" s="100" t="s">
        <v>196</v>
      </c>
      <c r="C60" s="70" t="s">
        <v>197</v>
      </c>
      <c r="D60" s="92" t="s">
        <v>89</v>
      </c>
      <c r="E60" s="125"/>
      <c r="F60" s="87" t="s">
        <v>91</v>
      </c>
      <c r="G60" s="87" t="s">
        <v>91</v>
      </c>
      <c r="H60" s="87"/>
      <c r="I60" s="87"/>
    </row>
    <row r="61" spans="2:9" ht="43.8" customHeight="1" x14ac:dyDescent="0.3">
      <c r="B61" s="100" t="s">
        <v>198</v>
      </c>
      <c r="C61" s="70"/>
      <c r="D61" s="92" t="s">
        <v>185</v>
      </c>
      <c r="E61" s="125"/>
      <c r="F61" s="87" t="s">
        <v>199</v>
      </c>
      <c r="G61" s="87" t="s">
        <v>200</v>
      </c>
      <c r="H61" s="87"/>
      <c r="I61" s="87" t="s">
        <v>122</v>
      </c>
    </row>
    <row r="62" spans="2:9" ht="43.8" customHeight="1" x14ac:dyDescent="0.3">
      <c r="B62" s="100" t="s">
        <v>201</v>
      </c>
      <c r="C62" s="70" t="s">
        <v>202</v>
      </c>
      <c r="D62" s="92" t="s">
        <v>161</v>
      </c>
      <c r="E62" s="125"/>
      <c r="F62" s="66" t="s">
        <v>200</v>
      </c>
      <c r="G62" s="66" t="s">
        <v>119</v>
      </c>
      <c r="H62" s="87"/>
      <c r="I62" s="87"/>
    </row>
    <row r="63" spans="2:9" ht="43.8" customHeight="1" x14ac:dyDescent="0.3">
      <c r="B63" s="100" t="s">
        <v>203</v>
      </c>
      <c r="C63" s="70" t="s">
        <v>204</v>
      </c>
      <c r="D63" s="92" t="s">
        <v>205</v>
      </c>
      <c r="E63" s="125"/>
      <c r="F63" s="87" t="s">
        <v>86</v>
      </c>
      <c r="G63" s="87" t="s">
        <v>86</v>
      </c>
      <c r="H63" s="87"/>
      <c r="I63" s="87"/>
    </row>
    <row r="64" spans="2:9" ht="43.8" customHeight="1" x14ac:dyDescent="0.3">
      <c r="B64" s="100" t="s">
        <v>206</v>
      </c>
      <c r="C64" s="70" t="s">
        <v>207</v>
      </c>
      <c r="D64" s="92" t="s">
        <v>208</v>
      </c>
      <c r="E64" s="125"/>
      <c r="F64" s="87" t="s">
        <v>91</v>
      </c>
      <c r="G64" s="87" t="s">
        <v>91</v>
      </c>
      <c r="H64" s="87"/>
      <c r="I64" s="87"/>
    </row>
    <row r="65" spans="2:9" ht="43.8" customHeight="1" x14ac:dyDescent="0.3">
      <c r="B65" s="103" t="s">
        <v>209</v>
      </c>
      <c r="C65" s="70" t="s">
        <v>210</v>
      </c>
      <c r="D65" s="92" t="s">
        <v>211</v>
      </c>
      <c r="E65" s="125"/>
      <c r="F65" s="87"/>
      <c r="G65" s="87"/>
      <c r="H65" s="87"/>
      <c r="I65" s="87"/>
    </row>
    <row r="66" spans="2:9" ht="43.8" customHeight="1" x14ac:dyDescent="0.3">
      <c r="B66" s="83" t="s">
        <v>212</v>
      </c>
      <c r="C66" s="104"/>
      <c r="D66" s="90"/>
      <c r="E66" s="126"/>
      <c r="F66" s="85"/>
      <c r="G66" s="85"/>
      <c r="H66" s="85"/>
      <c r="I66" s="85"/>
    </row>
    <row r="67" spans="2:9" ht="43.8" customHeight="1" x14ac:dyDescent="0.3">
      <c r="B67" s="91" t="s">
        <v>213</v>
      </c>
      <c r="C67" s="70"/>
      <c r="D67" s="92" t="s">
        <v>214</v>
      </c>
      <c r="E67" s="125"/>
      <c r="F67" s="87" t="s">
        <v>55</v>
      </c>
      <c r="G67" s="87" t="s">
        <v>215</v>
      </c>
      <c r="H67" s="87"/>
      <c r="I67" s="87"/>
    </row>
    <row r="68" spans="2:9" ht="43.8" customHeight="1" x14ac:dyDescent="0.3">
      <c r="B68" s="93" t="s">
        <v>216</v>
      </c>
      <c r="C68" s="70"/>
      <c r="D68" s="105"/>
      <c r="E68" s="125"/>
      <c r="F68" s="87"/>
      <c r="G68" s="87"/>
      <c r="H68" s="87"/>
      <c r="I68" s="87"/>
    </row>
    <row r="69" spans="2:9" ht="43.8" customHeight="1" x14ac:dyDescent="0.3">
      <c r="B69" s="106" t="s">
        <v>217</v>
      </c>
      <c r="C69" s="70"/>
      <c r="D69" s="92" t="s">
        <v>218</v>
      </c>
      <c r="E69" s="125"/>
      <c r="F69" s="87"/>
      <c r="G69" s="87"/>
      <c r="H69" s="87"/>
      <c r="I69" s="87"/>
    </row>
    <row r="70" spans="2:9" ht="43.8" customHeight="1" x14ac:dyDescent="0.3">
      <c r="B70" s="107" t="s">
        <v>219</v>
      </c>
      <c r="C70" s="70" t="s">
        <v>220</v>
      </c>
      <c r="D70" s="105"/>
      <c r="E70" s="125"/>
      <c r="F70" s="87"/>
      <c r="G70" s="87"/>
      <c r="H70" s="87"/>
      <c r="I70" s="87"/>
    </row>
    <row r="71" spans="2:9" ht="43.8" customHeight="1" x14ac:dyDescent="0.3">
      <c r="B71" s="107" t="s">
        <v>221</v>
      </c>
      <c r="C71" s="70" t="s">
        <v>222</v>
      </c>
      <c r="D71" s="92"/>
      <c r="E71" s="125"/>
      <c r="F71" s="87"/>
      <c r="G71" s="87"/>
      <c r="H71" s="87"/>
      <c r="I71" s="87"/>
    </row>
    <row r="72" spans="2:9" ht="43.8" customHeight="1" x14ac:dyDescent="0.3">
      <c r="B72" s="80" t="s">
        <v>223</v>
      </c>
      <c r="C72" s="102" t="s">
        <v>224</v>
      </c>
      <c r="D72" s="92"/>
      <c r="E72" s="125"/>
      <c r="F72" s="87"/>
      <c r="G72" s="87"/>
      <c r="H72" s="87"/>
      <c r="I72" s="87"/>
    </row>
    <row r="73" spans="2:9" ht="43.8" customHeight="1" x14ac:dyDescent="0.3">
      <c r="B73" s="98" t="s">
        <v>225</v>
      </c>
      <c r="C73" s="70" t="s">
        <v>226</v>
      </c>
      <c r="D73" s="92"/>
      <c r="E73" s="125"/>
      <c r="F73" s="87"/>
      <c r="G73" s="87"/>
      <c r="H73" s="87"/>
      <c r="I73" s="87"/>
    </row>
    <row r="74" spans="2:9" ht="43.8" customHeight="1" x14ac:dyDescent="0.3">
      <c r="B74" s="98" t="s">
        <v>227</v>
      </c>
      <c r="C74" s="70" t="s">
        <v>228</v>
      </c>
      <c r="D74" s="92"/>
      <c r="E74" s="125"/>
      <c r="F74" s="87"/>
      <c r="G74" s="87"/>
      <c r="H74" s="87"/>
      <c r="I74" s="87"/>
    </row>
    <row r="75" spans="2:9" ht="43.8" customHeight="1" x14ac:dyDescent="0.3">
      <c r="B75" s="108" t="s">
        <v>229</v>
      </c>
      <c r="C75" s="70"/>
      <c r="D75" s="109" t="s">
        <v>131</v>
      </c>
      <c r="E75" s="127"/>
      <c r="F75" s="87" t="s">
        <v>230</v>
      </c>
      <c r="G75" s="87"/>
      <c r="H75" s="87"/>
      <c r="I75" s="87"/>
    </row>
    <row r="76" spans="2:9" ht="43.8" customHeight="1" x14ac:dyDescent="0.3">
      <c r="B76" s="110" t="s">
        <v>231</v>
      </c>
      <c r="C76" s="70"/>
      <c r="D76" s="109"/>
      <c r="E76" s="127"/>
      <c r="F76" s="87"/>
      <c r="G76" s="87"/>
      <c r="H76" s="87"/>
      <c r="I76" s="87"/>
    </row>
    <row r="77" spans="2:9" ht="43.8" customHeight="1" x14ac:dyDescent="0.3">
      <c r="B77" s="111" t="s">
        <v>232</v>
      </c>
      <c r="C77" s="102" t="s">
        <v>233</v>
      </c>
      <c r="D77" s="109" t="s">
        <v>89</v>
      </c>
      <c r="E77" s="127"/>
      <c r="F77" s="87"/>
      <c r="G77" s="87"/>
      <c r="H77" s="87"/>
      <c r="I77" s="87"/>
    </row>
    <row r="78" spans="2:9" ht="43.8" customHeight="1" x14ac:dyDescent="0.3">
      <c r="B78" s="111" t="s">
        <v>234</v>
      </c>
      <c r="C78" s="70" t="s">
        <v>235</v>
      </c>
      <c r="D78" s="109" t="s">
        <v>236</v>
      </c>
      <c r="E78" s="127"/>
      <c r="F78" s="87"/>
      <c r="G78" s="87"/>
      <c r="H78" s="87"/>
      <c r="I78" s="87"/>
    </row>
    <row r="79" spans="2:9" ht="43.8" customHeight="1" x14ac:dyDescent="0.3">
      <c r="B79" s="111" t="s">
        <v>237</v>
      </c>
      <c r="C79" s="70" t="s">
        <v>238</v>
      </c>
      <c r="D79" s="109" t="s">
        <v>239</v>
      </c>
      <c r="E79" s="127"/>
      <c r="F79" s="87"/>
      <c r="G79" s="87"/>
      <c r="H79" s="87"/>
      <c r="I79" s="87"/>
    </row>
    <row r="80" spans="2:9" ht="43.8" customHeight="1" x14ac:dyDescent="0.3">
      <c r="B80" s="111" t="s">
        <v>240</v>
      </c>
      <c r="C80" s="70" t="s">
        <v>192</v>
      </c>
      <c r="D80" s="92" t="s">
        <v>185</v>
      </c>
      <c r="E80" s="127"/>
      <c r="F80" s="87"/>
      <c r="G80" s="87"/>
      <c r="H80" s="87"/>
      <c r="I80" s="87"/>
    </row>
    <row r="81" spans="2:9" ht="43.8" customHeight="1" x14ac:dyDescent="0.3">
      <c r="B81" s="108" t="s">
        <v>241</v>
      </c>
      <c r="C81" s="70"/>
      <c r="D81" s="109"/>
      <c r="E81" s="127"/>
      <c r="F81" s="87"/>
      <c r="G81" s="87"/>
      <c r="H81" s="87"/>
      <c r="I81" s="87"/>
    </row>
    <row r="82" spans="2:9" ht="43.8" customHeight="1" x14ac:dyDescent="0.3">
      <c r="B82" s="111" t="s">
        <v>242</v>
      </c>
      <c r="C82" s="70" t="s">
        <v>243</v>
      </c>
      <c r="D82" s="109" t="s">
        <v>244</v>
      </c>
      <c r="E82" s="127"/>
      <c r="F82" s="87"/>
      <c r="G82" s="87"/>
      <c r="H82" s="87"/>
      <c r="I82" s="87"/>
    </row>
    <row r="83" spans="2:9" ht="43.8" customHeight="1" x14ac:dyDescent="0.3">
      <c r="B83" s="112" t="s">
        <v>245</v>
      </c>
      <c r="C83" s="70" t="s">
        <v>246</v>
      </c>
      <c r="D83" s="109"/>
      <c r="E83" s="127"/>
      <c r="F83" s="87"/>
      <c r="G83" s="87"/>
      <c r="H83" s="87"/>
      <c r="I83" s="87"/>
    </row>
    <row r="84" spans="2:9" ht="43.8" customHeight="1" x14ac:dyDescent="0.3">
      <c r="B84" s="111" t="s">
        <v>247</v>
      </c>
      <c r="C84" s="70" t="s">
        <v>248</v>
      </c>
      <c r="D84" s="109" t="s">
        <v>244</v>
      </c>
      <c r="E84" s="127"/>
      <c r="F84" s="87"/>
      <c r="G84" s="87"/>
      <c r="H84" s="87"/>
      <c r="I84" s="87"/>
    </row>
    <row r="85" spans="2:9" ht="43.8" customHeight="1" x14ac:dyDescent="0.3">
      <c r="B85" s="113" t="s">
        <v>249</v>
      </c>
      <c r="C85" s="70" t="s">
        <v>250</v>
      </c>
      <c r="D85" s="109" t="s">
        <v>251</v>
      </c>
      <c r="E85" s="127"/>
      <c r="F85" s="87"/>
      <c r="G85" s="87"/>
      <c r="H85" s="87"/>
      <c r="I85" s="87"/>
    </row>
    <row r="86" spans="2:9" ht="43.8" customHeight="1" x14ac:dyDescent="0.3">
      <c r="B86" s="113" t="s">
        <v>252</v>
      </c>
      <c r="C86" s="70" t="s">
        <v>253</v>
      </c>
      <c r="D86" s="109" t="s">
        <v>102</v>
      </c>
      <c r="E86" s="127"/>
      <c r="F86" s="87"/>
      <c r="G86" s="87"/>
      <c r="H86" s="87"/>
      <c r="I86" s="87"/>
    </row>
    <row r="87" spans="2:9" ht="43.8" customHeight="1" x14ac:dyDescent="0.3">
      <c r="B87" s="108" t="s">
        <v>254</v>
      </c>
      <c r="C87" s="70" t="s">
        <v>255</v>
      </c>
      <c r="D87" s="109"/>
      <c r="E87" s="127"/>
      <c r="F87" s="87"/>
      <c r="G87" s="87"/>
      <c r="H87" s="87"/>
      <c r="I87" s="87"/>
    </row>
    <row r="88" spans="2:9" ht="43.8" customHeight="1" x14ac:dyDescent="0.3">
      <c r="B88" s="107" t="s">
        <v>256</v>
      </c>
      <c r="C88" s="70" t="s">
        <v>257</v>
      </c>
      <c r="D88" s="109"/>
      <c r="E88" s="127"/>
      <c r="F88" s="87"/>
      <c r="G88" s="87"/>
      <c r="H88" s="87"/>
      <c r="I88" s="87"/>
    </row>
    <row r="89" spans="2:9" ht="43.8" customHeight="1" x14ac:dyDescent="0.3">
      <c r="B89" s="111" t="s">
        <v>258</v>
      </c>
      <c r="C89" s="70" t="s">
        <v>259</v>
      </c>
      <c r="D89" s="109" t="s">
        <v>260</v>
      </c>
      <c r="E89" s="125"/>
      <c r="F89" s="109" t="s">
        <v>261</v>
      </c>
      <c r="G89" s="87"/>
      <c r="H89" s="87"/>
      <c r="I89" s="87"/>
    </row>
    <row r="90" spans="2:9" ht="43.8" customHeight="1" x14ac:dyDescent="0.3">
      <c r="B90" s="111" t="s">
        <v>262</v>
      </c>
      <c r="C90" s="70" t="s">
        <v>259</v>
      </c>
      <c r="D90" s="109" t="s">
        <v>260</v>
      </c>
      <c r="E90" s="127"/>
      <c r="F90" s="87"/>
      <c r="G90" s="87"/>
      <c r="H90" s="87"/>
      <c r="I90" s="87"/>
    </row>
    <row r="91" spans="2:9" ht="43.8" customHeight="1" x14ac:dyDescent="0.3">
      <c r="B91" s="111" t="s">
        <v>263</v>
      </c>
      <c r="C91" s="70" t="s">
        <v>259</v>
      </c>
      <c r="D91" s="109" t="s">
        <v>260</v>
      </c>
      <c r="E91" s="127"/>
      <c r="F91" s="87"/>
      <c r="G91" s="87"/>
      <c r="H91" s="87"/>
      <c r="I91" s="87"/>
    </row>
    <row r="92" spans="2:9" ht="43.8" customHeight="1" x14ac:dyDescent="0.3">
      <c r="B92" s="111" t="s">
        <v>264</v>
      </c>
      <c r="C92" s="70"/>
      <c r="D92" s="92"/>
      <c r="E92" s="127"/>
      <c r="F92" s="87"/>
      <c r="G92" s="87"/>
      <c r="H92" s="87"/>
      <c r="I92" s="87"/>
    </row>
    <row r="93" spans="2:9" ht="43.8" customHeight="1" x14ac:dyDescent="0.3">
      <c r="B93" s="114" t="s">
        <v>265</v>
      </c>
      <c r="C93" s="115"/>
      <c r="D93" s="116"/>
      <c r="E93" s="128"/>
      <c r="F93" s="116"/>
      <c r="G93" s="116"/>
      <c r="H93" s="116"/>
      <c r="I93" s="116"/>
    </row>
    <row r="94" spans="2:9" ht="43.8" customHeight="1" x14ac:dyDescent="0.3">
      <c r="B94" s="109" t="s">
        <v>266</v>
      </c>
      <c r="C94" s="70"/>
      <c r="D94" s="109" t="s">
        <v>89</v>
      </c>
      <c r="E94" s="125"/>
      <c r="F94" s="87" t="s">
        <v>267</v>
      </c>
      <c r="G94" s="87" t="s">
        <v>268</v>
      </c>
      <c r="H94" s="87"/>
      <c r="I94" s="87"/>
    </row>
    <row r="95" spans="2:9" ht="43.8" customHeight="1" x14ac:dyDescent="0.3">
      <c r="B95" s="109" t="s">
        <v>269</v>
      </c>
      <c r="C95" s="70"/>
      <c r="D95" s="109" t="s">
        <v>270</v>
      </c>
      <c r="E95" s="125"/>
      <c r="F95" s="87" t="s">
        <v>267</v>
      </c>
      <c r="G95" s="87" t="s">
        <v>268</v>
      </c>
      <c r="H95" s="87"/>
      <c r="I95" s="87"/>
    </row>
    <row r="96" spans="2:9" ht="43.8" customHeight="1" x14ac:dyDescent="0.3">
      <c r="B96" s="92" t="s">
        <v>271</v>
      </c>
      <c r="C96" s="70"/>
      <c r="D96" s="109" t="s">
        <v>270</v>
      </c>
      <c r="E96" s="125"/>
      <c r="F96" s="87" t="s">
        <v>267</v>
      </c>
      <c r="G96" s="87" t="s">
        <v>268</v>
      </c>
      <c r="H96" s="87"/>
      <c r="I96" s="87"/>
    </row>
    <row r="97" spans="2:9" ht="43.8" customHeight="1" x14ac:dyDescent="0.3">
      <c r="B97" s="109" t="s">
        <v>272</v>
      </c>
      <c r="C97" s="70"/>
      <c r="D97" s="109" t="s">
        <v>273</v>
      </c>
      <c r="E97" s="125"/>
      <c r="F97" s="87" t="s">
        <v>267</v>
      </c>
      <c r="G97" s="87" t="s">
        <v>268</v>
      </c>
      <c r="H97" s="87"/>
      <c r="I97" s="87"/>
    </row>
    <row r="98" spans="2:9" ht="43.8" customHeight="1" x14ac:dyDescent="0.3">
      <c r="B98" s="109" t="s">
        <v>274</v>
      </c>
      <c r="C98" s="92"/>
      <c r="D98" s="109" t="s">
        <v>275</v>
      </c>
      <c r="E98" s="125"/>
      <c r="F98" s="87" t="s">
        <v>267</v>
      </c>
      <c r="G98" s="87" t="s">
        <v>268</v>
      </c>
      <c r="H98" s="87"/>
      <c r="I98" s="87"/>
    </row>
    <row r="99" spans="2:9" ht="43.8" customHeight="1" x14ac:dyDescent="0.3">
      <c r="B99" s="109" t="s">
        <v>276</v>
      </c>
      <c r="C99" s="70"/>
      <c r="D99" s="109" t="s">
        <v>185</v>
      </c>
      <c r="E99" s="125"/>
      <c r="F99" s="87" t="s">
        <v>267</v>
      </c>
      <c r="G99" s="87" t="s">
        <v>268</v>
      </c>
      <c r="H99" s="87"/>
      <c r="I99" s="87"/>
    </row>
    <row r="100" spans="2:9" ht="43.8" customHeight="1" x14ac:dyDescent="0.3">
      <c r="B100" s="113" t="s">
        <v>277</v>
      </c>
      <c r="C100" s="70"/>
      <c r="D100" s="109" t="s">
        <v>270</v>
      </c>
      <c r="E100" s="125"/>
      <c r="F100" s="87" t="s">
        <v>267</v>
      </c>
      <c r="G100" s="87" t="s">
        <v>268</v>
      </c>
      <c r="H100" s="87"/>
      <c r="I100" s="87"/>
    </row>
    <row r="101" spans="2:9" ht="43.8" customHeight="1" x14ac:dyDescent="0.3">
      <c r="B101" s="109" t="s">
        <v>278</v>
      </c>
      <c r="C101" s="70"/>
      <c r="D101" s="109" t="s">
        <v>279</v>
      </c>
      <c r="E101" s="125"/>
      <c r="F101" s="87" t="s">
        <v>267</v>
      </c>
      <c r="G101" s="87" t="s">
        <v>268</v>
      </c>
      <c r="H101" s="87"/>
      <c r="I101" s="87"/>
    </row>
    <row r="102" spans="2:9" ht="43.8" customHeight="1" x14ac:dyDescent="0.3">
      <c r="B102" s="92" t="s">
        <v>280</v>
      </c>
      <c r="C102" s="92"/>
      <c r="D102" s="92" t="s">
        <v>102</v>
      </c>
      <c r="E102" s="125"/>
      <c r="F102" s="87" t="s">
        <v>267</v>
      </c>
      <c r="G102" s="87" t="s">
        <v>268</v>
      </c>
      <c r="H102" s="87"/>
      <c r="I102" s="8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8C089-C76E-475D-BBDA-4F58E185DE4A}">
  <dimension ref="A1:AT35"/>
  <sheetViews>
    <sheetView workbookViewId="0">
      <selection activeCell="AT5" sqref="AT5"/>
    </sheetView>
  </sheetViews>
  <sheetFormatPr defaultRowHeight="14.4" x14ac:dyDescent="0.3"/>
  <cols>
    <col min="1" max="1" width="5.77734375" customWidth="1"/>
    <col min="2" max="41" width="3.33203125" customWidth="1"/>
    <col min="43" max="43" width="15.109375" customWidth="1"/>
    <col min="44" max="44" width="17.77734375" customWidth="1"/>
    <col min="45" max="45" width="14.88671875" customWidth="1"/>
    <col min="46" max="46" width="19.6640625" customWidth="1"/>
    <col min="47" max="47" width="12.5546875" customWidth="1"/>
    <col min="48" max="48" width="13.6640625" customWidth="1"/>
  </cols>
  <sheetData>
    <row r="1" spans="1:46" ht="26.4" customHeight="1" x14ac:dyDescent="0.3">
      <c r="A1" s="33"/>
      <c r="B1" s="42"/>
      <c r="C1" s="43"/>
      <c r="D1" s="43"/>
      <c r="E1" s="44"/>
      <c r="F1" s="44" t="s">
        <v>63</v>
      </c>
      <c r="G1" s="44"/>
      <c r="H1" s="44"/>
      <c r="I1" s="44"/>
      <c r="J1" s="44"/>
      <c r="K1" s="44"/>
      <c r="L1" s="43"/>
      <c r="M1" s="43"/>
      <c r="N1" s="152" t="s">
        <v>64</v>
      </c>
      <c r="O1" s="152"/>
      <c r="P1" s="152"/>
      <c r="Q1" s="152"/>
      <c r="R1" s="152"/>
      <c r="S1" s="43"/>
      <c r="T1" s="43"/>
      <c r="U1" s="43"/>
      <c r="V1" s="153" t="s">
        <v>65</v>
      </c>
      <c r="W1" s="153"/>
      <c r="X1" s="153"/>
      <c r="Y1" s="153"/>
      <c r="Z1" s="153"/>
      <c r="AA1" s="43"/>
      <c r="AB1" s="45"/>
      <c r="AC1" s="45"/>
      <c r="AD1" s="45"/>
      <c r="AE1" s="45"/>
      <c r="AF1" s="45"/>
      <c r="AG1" s="45"/>
      <c r="AH1" s="45"/>
      <c r="AI1" s="45"/>
      <c r="AJ1" s="45"/>
      <c r="AK1" s="45"/>
      <c r="AL1" s="45"/>
      <c r="AM1" s="45"/>
      <c r="AN1" s="45"/>
      <c r="AO1" s="46"/>
    </row>
    <row r="2" spans="1:46" ht="18" x14ac:dyDescent="0.3">
      <c r="B2" s="154" t="s">
        <v>36</v>
      </c>
      <c r="C2" s="149"/>
      <c r="D2" s="150" t="s">
        <v>37</v>
      </c>
      <c r="E2" s="150"/>
      <c r="F2" s="149" t="s">
        <v>38</v>
      </c>
      <c r="G2" s="149"/>
      <c r="H2" s="150" t="s">
        <v>39</v>
      </c>
      <c r="I2" s="150"/>
      <c r="J2" s="149" t="s">
        <v>40</v>
      </c>
      <c r="K2" s="149"/>
      <c r="L2" s="150" t="s">
        <v>41</v>
      </c>
      <c r="M2" s="150"/>
      <c r="N2" s="149" t="s">
        <v>42</v>
      </c>
      <c r="O2" s="149"/>
      <c r="P2" s="150" t="s">
        <v>43</v>
      </c>
      <c r="Q2" s="150"/>
      <c r="R2" s="149" t="s">
        <v>44</v>
      </c>
      <c r="S2" s="149"/>
      <c r="T2" s="150" t="s">
        <v>45</v>
      </c>
      <c r="U2" s="150"/>
      <c r="V2" s="149" t="s">
        <v>46</v>
      </c>
      <c r="W2" s="149"/>
      <c r="X2" s="150" t="s">
        <v>47</v>
      </c>
      <c r="Y2" s="150"/>
      <c r="Z2" s="149" t="s">
        <v>36</v>
      </c>
      <c r="AA2" s="149"/>
      <c r="AB2" s="150" t="s">
        <v>37</v>
      </c>
      <c r="AC2" s="150"/>
      <c r="AD2" s="149" t="s">
        <v>38</v>
      </c>
      <c r="AE2" s="149"/>
      <c r="AF2" s="150" t="s">
        <v>39</v>
      </c>
      <c r="AG2" s="150"/>
      <c r="AH2" s="149" t="s">
        <v>40</v>
      </c>
      <c r="AI2" s="149"/>
      <c r="AJ2" s="150" t="s">
        <v>41</v>
      </c>
      <c r="AK2" s="150"/>
      <c r="AL2" s="149" t="s">
        <v>42</v>
      </c>
      <c r="AM2" s="149"/>
      <c r="AN2" s="150" t="s">
        <v>43</v>
      </c>
      <c r="AO2" s="151"/>
      <c r="AP2" s="33"/>
      <c r="AQ2" s="2" t="s">
        <v>8</v>
      </c>
      <c r="AR2" s="2" t="s">
        <v>5</v>
      </c>
      <c r="AS2" s="2" t="s">
        <v>4</v>
      </c>
      <c r="AT2" s="2" t="s">
        <v>66</v>
      </c>
    </row>
    <row r="3" spans="1:46" x14ac:dyDescent="0.3">
      <c r="B3" s="139" t="str">
        <f>AT4</f>
        <v>Phase 1</v>
      </c>
      <c r="C3" s="140"/>
      <c r="D3" s="140"/>
      <c r="E3" s="140"/>
      <c r="F3" s="140"/>
      <c r="G3" s="140"/>
      <c r="H3" s="140"/>
      <c r="I3" s="140"/>
      <c r="J3" s="140"/>
      <c r="K3" s="33"/>
      <c r="L3" s="33"/>
      <c r="M3" s="35"/>
      <c r="N3" s="33"/>
      <c r="O3" s="33"/>
      <c r="P3" s="33"/>
      <c r="Q3" s="35"/>
      <c r="R3" s="33"/>
      <c r="S3" s="33"/>
      <c r="T3" s="33"/>
      <c r="U3" s="33"/>
      <c r="V3" s="33"/>
      <c r="W3" s="33"/>
      <c r="X3" s="33"/>
      <c r="Y3" s="35"/>
      <c r="Z3" s="33"/>
      <c r="AA3" s="35"/>
      <c r="AB3" s="33"/>
      <c r="AC3" s="35"/>
      <c r="AD3" s="33"/>
      <c r="AE3" s="35"/>
      <c r="AF3" s="33"/>
      <c r="AG3" s="33"/>
      <c r="AH3" s="33"/>
      <c r="AI3" s="33"/>
      <c r="AJ3" s="33"/>
      <c r="AK3" s="33"/>
      <c r="AL3" s="33"/>
      <c r="AM3" s="33"/>
      <c r="AN3" s="33"/>
      <c r="AO3" s="47"/>
      <c r="AP3" s="33"/>
      <c r="AQ3" s="13"/>
      <c r="AR3" s="13"/>
      <c r="AS3" s="14"/>
      <c r="AT3" s="15"/>
    </row>
    <row r="4" spans="1:46" x14ac:dyDescent="0.3">
      <c r="B4" s="48"/>
      <c r="C4" s="33"/>
      <c r="D4" s="34"/>
      <c r="E4" s="33"/>
      <c r="F4" s="34"/>
      <c r="G4" s="35"/>
      <c r="H4" s="52"/>
      <c r="I4" s="37"/>
      <c r="J4" s="33"/>
      <c r="K4" s="35"/>
      <c r="L4" s="33"/>
      <c r="M4" s="35"/>
      <c r="N4" s="33"/>
      <c r="O4" s="35"/>
      <c r="P4" s="33"/>
      <c r="Q4" s="35"/>
      <c r="R4" s="33"/>
      <c r="S4" s="35"/>
      <c r="T4" s="33"/>
      <c r="U4" s="35"/>
      <c r="V4" s="33"/>
      <c r="W4" s="35"/>
      <c r="X4" s="33"/>
      <c r="Y4" s="35"/>
      <c r="Z4" s="33"/>
      <c r="AA4" s="35"/>
      <c r="AB4" s="33"/>
      <c r="AC4" s="35"/>
      <c r="AD4" s="33"/>
      <c r="AE4" s="35"/>
      <c r="AF4" s="33"/>
      <c r="AG4" s="35"/>
      <c r="AH4" s="33"/>
      <c r="AI4" s="35"/>
      <c r="AJ4" s="33"/>
      <c r="AK4" s="35"/>
      <c r="AL4" s="33"/>
      <c r="AM4" s="35"/>
      <c r="AN4" s="33"/>
      <c r="AO4" s="47"/>
      <c r="AP4" s="33"/>
      <c r="AQ4" s="9">
        <v>45658</v>
      </c>
      <c r="AR4" s="9">
        <f t="shared" ref="AR4:AR18" si="0">AQ4+AS4-1</f>
        <v>45777</v>
      </c>
      <c r="AS4" s="10">
        <v>120</v>
      </c>
      <c r="AT4" s="57" t="s">
        <v>300</v>
      </c>
    </row>
    <row r="5" spans="1:46" x14ac:dyDescent="0.3">
      <c r="B5" s="48"/>
      <c r="C5" s="35"/>
      <c r="D5" s="33"/>
      <c r="E5" s="35"/>
      <c r="F5" s="33"/>
      <c r="G5" s="35"/>
      <c r="H5" s="33"/>
      <c r="I5" s="35"/>
      <c r="J5" s="52"/>
      <c r="K5" s="35"/>
      <c r="L5" s="33"/>
      <c r="M5" s="35"/>
      <c r="N5" s="33"/>
      <c r="O5" s="35"/>
      <c r="P5" s="33"/>
      <c r="Q5" s="35"/>
      <c r="R5" s="33"/>
      <c r="S5" s="35"/>
      <c r="T5" s="33"/>
      <c r="U5" s="35"/>
      <c r="V5" s="33"/>
      <c r="W5" s="35"/>
      <c r="X5" s="33"/>
      <c r="Y5" s="35"/>
      <c r="Z5" s="33"/>
      <c r="AA5" s="35"/>
      <c r="AB5" s="33"/>
      <c r="AC5" s="35"/>
      <c r="AD5" s="33"/>
      <c r="AE5" s="35"/>
      <c r="AF5" s="33"/>
      <c r="AG5" s="35"/>
      <c r="AH5" s="33"/>
      <c r="AI5" s="35"/>
      <c r="AJ5" s="33"/>
      <c r="AK5" s="35"/>
      <c r="AL5" s="33"/>
      <c r="AM5" s="35"/>
      <c r="AN5" s="33"/>
      <c r="AO5" s="47"/>
      <c r="AP5" s="33"/>
      <c r="AQ5" s="9">
        <v>45659</v>
      </c>
      <c r="AR5" s="9">
        <f t="shared" ref="AR5" si="1">AQ5+AS5-1</f>
        <v>45659</v>
      </c>
      <c r="AS5" s="10">
        <v>1</v>
      </c>
      <c r="AT5" s="132" t="s">
        <v>303</v>
      </c>
    </row>
    <row r="6" spans="1:46" x14ac:dyDescent="0.3">
      <c r="B6" s="48"/>
      <c r="C6" s="35"/>
      <c r="D6" s="33"/>
      <c r="E6" s="35"/>
      <c r="F6" s="33"/>
      <c r="G6" s="35"/>
      <c r="H6" s="33"/>
      <c r="I6" s="35"/>
      <c r="J6" s="33"/>
      <c r="K6" s="35"/>
      <c r="L6" s="33"/>
      <c r="M6" s="35"/>
      <c r="N6" s="33"/>
      <c r="O6" s="35"/>
      <c r="P6" s="33"/>
      <c r="Q6" s="35"/>
      <c r="R6" s="33"/>
      <c r="S6" s="35"/>
      <c r="T6" s="33"/>
      <c r="U6" s="35"/>
      <c r="V6" s="33"/>
      <c r="W6" s="35"/>
      <c r="X6" s="33"/>
      <c r="Y6" s="35"/>
      <c r="Z6" s="33"/>
      <c r="AA6" s="35"/>
      <c r="AB6" s="33"/>
      <c r="AC6" s="35"/>
      <c r="AD6" s="33"/>
      <c r="AE6" s="35"/>
      <c r="AF6" s="33"/>
      <c r="AG6" s="35"/>
      <c r="AH6" s="33"/>
      <c r="AI6" s="35"/>
      <c r="AJ6" s="33"/>
      <c r="AK6" s="35"/>
      <c r="AL6" s="33"/>
      <c r="AM6" s="35"/>
      <c r="AN6" s="33"/>
      <c r="AO6" s="47"/>
      <c r="AP6" s="33"/>
      <c r="AQ6" s="9">
        <v>45658</v>
      </c>
      <c r="AR6" s="9">
        <f t="shared" si="0"/>
        <v>45702</v>
      </c>
      <c r="AS6" s="10">
        <v>45</v>
      </c>
      <c r="AT6" s="132" t="s">
        <v>49</v>
      </c>
    </row>
    <row r="7" spans="1:46" x14ac:dyDescent="0.3">
      <c r="B7" s="48"/>
      <c r="C7" s="35"/>
      <c r="D7" s="33"/>
      <c r="E7" s="35"/>
      <c r="F7" s="33"/>
      <c r="G7" s="35"/>
      <c r="H7" s="33"/>
      <c r="I7" s="37"/>
      <c r="J7" s="53"/>
      <c r="K7" s="36"/>
      <c r="L7" s="38"/>
      <c r="M7" s="35"/>
      <c r="N7" s="33"/>
      <c r="O7" s="35"/>
      <c r="P7" s="33"/>
      <c r="Q7" s="35"/>
      <c r="R7" s="33"/>
      <c r="S7" s="35"/>
      <c r="T7" s="33"/>
      <c r="U7" s="35"/>
      <c r="V7" s="33"/>
      <c r="W7" s="35"/>
      <c r="X7" s="33"/>
      <c r="Y7" s="35"/>
      <c r="Z7" s="33"/>
      <c r="AA7" s="35"/>
      <c r="AB7" s="33"/>
      <c r="AC7" s="35"/>
      <c r="AD7" s="33"/>
      <c r="AE7" s="35"/>
      <c r="AF7" s="33"/>
      <c r="AG7" s="35"/>
      <c r="AH7" s="33"/>
      <c r="AI7" s="35"/>
      <c r="AJ7" s="33"/>
      <c r="AK7" s="35"/>
      <c r="AL7" s="33"/>
      <c r="AM7" s="35"/>
      <c r="AN7" s="33"/>
      <c r="AO7" s="47"/>
      <c r="AP7" s="33"/>
      <c r="AQ7" s="9">
        <v>45336</v>
      </c>
      <c r="AR7" s="9">
        <f t="shared" si="0"/>
        <v>45380</v>
      </c>
      <c r="AS7" s="10">
        <v>45</v>
      </c>
      <c r="AT7" s="132" t="s">
        <v>73</v>
      </c>
    </row>
    <row r="8" spans="1:46" x14ac:dyDescent="0.3">
      <c r="B8" s="48"/>
      <c r="C8" s="35"/>
      <c r="D8" s="33"/>
      <c r="E8" s="35"/>
      <c r="F8" s="33"/>
      <c r="G8" s="35"/>
      <c r="H8" s="33"/>
      <c r="I8" s="35"/>
      <c r="J8" s="33"/>
      <c r="K8" s="35"/>
      <c r="L8" s="33"/>
      <c r="M8" s="35"/>
      <c r="N8" s="33"/>
      <c r="O8" s="37"/>
      <c r="P8" s="33"/>
      <c r="Q8" s="35"/>
      <c r="R8" s="33"/>
      <c r="S8" s="35"/>
      <c r="T8" s="33"/>
      <c r="U8" s="35"/>
      <c r="V8" s="33"/>
      <c r="W8" s="35"/>
      <c r="X8" s="33"/>
      <c r="Y8" s="35"/>
      <c r="Z8" s="33"/>
      <c r="AA8" s="35"/>
      <c r="AB8" s="33"/>
      <c r="AC8" s="35"/>
      <c r="AD8" s="33"/>
      <c r="AE8" s="35"/>
      <c r="AF8" s="33"/>
      <c r="AG8" s="35"/>
      <c r="AH8" s="33"/>
      <c r="AI8" s="35"/>
      <c r="AJ8" s="33"/>
      <c r="AK8" s="35"/>
      <c r="AL8" s="33"/>
      <c r="AM8" s="35"/>
      <c r="AN8" s="33"/>
      <c r="AO8" s="47"/>
      <c r="AP8" s="33"/>
      <c r="AQ8" s="9">
        <v>45383</v>
      </c>
      <c r="AR8" s="9">
        <f t="shared" si="0"/>
        <v>45427</v>
      </c>
      <c r="AS8" s="10">
        <v>45</v>
      </c>
      <c r="AT8" s="132" t="s">
        <v>51</v>
      </c>
    </row>
    <row r="9" spans="1:46" x14ac:dyDescent="0.3">
      <c r="B9" s="48"/>
      <c r="C9" s="35"/>
      <c r="D9" s="33"/>
      <c r="E9" s="35"/>
      <c r="F9" s="33"/>
      <c r="G9" s="35"/>
      <c r="H9" s="33"/>
      <c r="I9" s="35"/>
      <c r="J9" s="40"/>
      <c r="L9" s="141"/>
      <c r="M9" s="141"/>
      <c r="N9" s="141"/>
      <c r="O9" s="141"/>
      <c r="P9" s="141"/>
      <c r="Q9" s="142"/>
      <c r="R9" s="33"/>
      <c r="S9" s="35"/>
      <c r="T9" s="33"/>
      <c r="U9" s="35"/>
      <c r="V9" s="33"/>
      <c r="W9" s="35"/>
      <c r="X9" s="33"/>
      <c r="Y9" s="35"/>
      <c r="Z9" s="33"/>
      <c r="AA9" s="35"/>
      <c r="AB9" s="33"/>
      <c r="AC9" s="35"/>
      <c r="AD9" s="33"/>
      <c r="AE9" s="35"/>
      <c r="AF9" s="33"/>
      <c r="AG9" s="35"/>
      <c r="AH9" s="33"/>
      <c r="AI9" s="35"/>
      <c r="AJ9" s="33"/>
      <c r="AK9" s="35"/>
      <c r="AL9" s="33"/>
      <c r="AM9" s="35"/>
      <c r="AN9" s="33"/>
      <c r="AO9" s="47"/>
      <c r="AP9" s="33"/>
      <c r="AQ9" s="9">
        <v>45809</v>
      </c>
      <c r="AR9" s="9">
        <f t="shared" si="0"/>
        <v>45898</v>
      </c>
      <c r="AS9" s="10">
        <v>90</v>
      </c>
      <c r="AT9" s="6" t="s">
        <v>301</v>
      </c>
    </row>
    <row r="10" spans="1:46" x14ac:dyDescent="0.3">
      <c r="B10" s="48"/>
      <c r="C10" s="35"/>
      <c r="D10" s="33"/>
      <c r="E10" s="35"/>
      <c r="F10" s="33"/>
      <c r="G10" s="35"/>
      <c r="H10" s="33"/>
      <c r="I10" s="35"/>
      <c r="J10" s="33"/>
      <c r="K10" s="35"/>
      <c r="L10" s="33"/>
      <c r="M10" s="33"/>
      <c r="N10" s="33"/>
      <c r="O10" s="35"/>
      <c r="P10" s="33"/>
      <c r="Q10" s="35"/>
      <c r="R10" s="33"/>
      <c r="S10" s="35"/>
      <c r="T10" s="33"/>
      <c r="U10" s="35"/>
      <c r="V10" s="33"/>
      <c r="W10" s="35"/>
      <c r="X10" s="33"/>
      <c r="Y10" s="35"/>
      <c r="Z10" s="33"/>
      <c r="AA10" s="35"/>
      <c r="AB10" s="33"/>
      <c r="AC10" s="35"/>
      <c r="AD10" s="33"/>
      <c r="AE10" s="35"/>
      <c r="AF10" s="33"/>
      <c r="AG10" s="35"/>
      <c r="AH10" s="33"/>
      <c r="AI10" s="35"/>
      <c r="AJ10" s="33"/>
      <c r="AK10" s="35"/>
      <c r="AL10" s="33"/>
      <c r="AM10" s="35"/>
      <c r="AN10" s="33"/>
      <c r="AO10" s="47"/>
      <c r="AP10" s="33"/>
      <c r="AQ10" s="9">
        <v>45870</v>
      </c>
      <c r="AR10" s="9">
        <f t="shared" si="0"/>
        <v>45974</v>
      </c>
      <c r="AS10" s="10">
        <v>105</v>
      </c>
      <c r="AT10" s="6" t="s">
        <v>302</v>
      </c>
    </row>
    <row r="11" spans="1:46" x14ac:dyDescent="0.3">
      <c r="B11" s="48"/>
      <c r="C11" s="35"/>
      <c r="D11" s="33"/>
      <c r="E11" s="35"/>
      <c r="F11" s="33"/>
      <c r="G11" s="35"/>
      <c r="H11" s="33"/>
      <c r="I11" s="35"/>
      <c r="J11" s="33"/>
      <c r="K11" s="35"/>
      <c r="L11" s="33"/>
      <c r="M11" s="35"/>
      <c r="N11" s="33"/>
      <c r="O11" s="35"/>
      <c r="P11" s="143"/>
      <c r="Q11" s="144"/>
      <c r="R11" s="144"/>
      <c r="S11" s="144"/>
      <c r="T11" s="144"/>
      <c r="U11" s="144"/>
      <c r="V11" s="144"/>
      <c r="W11" s="35"/>
      <c r="X11" s="33"/>
      <c r="Y11" s="35"/>
      <c r="Z11" s="33"/>
      <c r="AA11" s="35"/>
      <c r="AB11" s="33"/>
      <c r="AC11" s="35"/>
      <c r="AD11" s="33"/>
      <c r="AE11" s="35"/>
      <c r="AF11" s="33"/>
      <c r="AG11" s="35"/>
      <c r="AH11" s="33"/>
      <c r="AI11" s="35"/>
      <c r="AJ11" s="33"/>
      <c r="AK11" s="35"/>
      <c r="AL11" s="33"/>
      <c r="AM11" s="35"/>
      <c r="AN11" s="33"/>
      <c r="AO11" s="47"/>
      <c r="AP11" s="33"/>
      <c r="AQ11" s="9">
        <v>45962</v>
      </c>
      <c r="AR11" s="9">
        <f t="shared" si="0"/>
        <v>45991</v>
      </c>
      <c r="AS11" s="10">
        <v>30</v>
      </c>
      <c r="AT11" s="6" t="s">
        <v>72</v>
      </c>
    </row>
    <row r="12" spans="1:46" x14ac:dyDescent="0.3">
      <c r="B12" s="48"/>
      <c r="C12" s="35"/>
      <c r="D12" s="33"/>
      <c r="E12" s="35"/>
      <c r="F12" s="33"/>
      <c r="G12" s="35"/>
      <c r="H12" s="33"/>
      <c r="I12" s="35"/>
      <c r="J12" s="33"/>
      <c r="K12" s="35"/>
      <c r="L12" s="33"/>
      <c r="M12" s="35"/>
      <c r="N12" s="33"/>
      <c r="O12" s="35"/>
      <c r="P12" s="33"/>
      <c r="Q12" s="35"/>
      <c r="R12" s="33"/>
      <c r="S12" s="35"/>
      <c r="T12" s="33"/>
      <c r="U12" s="35"/>
      <c r="V12" s="33"/>
      <c r="W12" s="35"/>
      <c r="X12" s="33"/>
      <c r="Y12" s="35"/>
      <c r="Z12" s="33"/>
      <c r="AA12" s="35"/>
      <c r="AB12" s="33"/>
      <c r="AC12" s="35"/>
      <c r="AD12" s="33"/>
      <c r="AE12" s="35"/>
      <c r="AF12" s="33"/>
      <c r="AG12" s="35"/>
      <c r="AH12" s="33"/>
      <c r="AI12" s="35"/>
      <c r="AJ12" s="33"/>
      <c r="AK12" s="35"/>
      <c r="AL12" s="33"/>
      <c r="AM12" s="35"/>
      <c r="AN12" s="33"/>
      <c r="AO12" s="47"/>
      <c r="AP12" s="33"/>
      <c r="AQ12" s="9">
        <v>45992</v>
      </c>
      <c r="AR12" s="9">
        <f t="shared" si="0"/>
        <v>46081</v>
      </c>
      <c r="AS12" s="10">
        <v>90</v>
      </c>
      <c r="AT12" s="6" t="s">
        <v>71</v>
      </c>
    </row>
    <row r="13" spans="1:46" x14ac:dyDescent="0.3">
      <c r="B13" s="48"/>
      <c r="C13" s="35"/>
      <c r="D13" s="33"/>
      <c r="E13" s="35"/>
      <c r="F13" s="33"/>
      <c r="G13" s="35"/>
      <c r="H13" s="33"/>
      <c r="I13" s="35"/>
      <c r="J13" s="33"/>
      <c r="K13" s="35"/>
      <c r="L13" s="33"/>
      <c r="M13" s="35"/>
      <c r="N13" s="33"/>
      <c r="O13" s="35"/>
      <c r="P13" s="33"/>
      <c r="Q13" s="35"/>
      <c r="R13" s="33"/>
      <c r="S13" s="35"/>
      <c r="T13" s="33"/>
      <c r="U13" s="35"/>
      <c r="V13" s="145"/>
      <c r="W13" s="146"/>
      <c r="X13" s="33"/>
      <c r="Y13" s="35"/>
      <c r="Z13" s="33"/>
      <c r="AA13" s="35"/>
      <c r="AB13" s="33"/>
      <c r="AC13" s="35"/>
      <c r="AD13" s="33"/>
      <c r="AE13" s="35"/>
      <c r="AF13" s="33"/>
      <c r="AG13" s="35"/>
      <c r="AH13" s="33"/>
      <c r="AI13" s="35"/>
      <c r="AJ13" s="33"/>
      <c r="AK13" s="35"/>
      <c r="AL13" s="33"/>
      <c r="AM13" s="35"/>
      <c r="AN13" s="33"/>
      <c r="AO13" s="47"/>
      <c r="AP13" s="33"/>
      <c r="AQ13" s="9">
        <v>46023</v>
      </c>
      <c r="AR13" s="9">
        <f t="shared" si="0"/>
        <v>46172</v>
      </c>
      <c r="AS13" s="10">
        <v>150</v>
      </c>
      <c r="AT13" s="6" t="str">
        <f>"Hardware"</f>
        <v>Hardware</v>
      </c>
    </row>
    <row r="14" spans="1:46" x14ac:dyDescent="0.3">
      <c r="B14" s="48"/>
      <c r="C14" s="35"/>
      <c r="D14" s="33"/>
      <c r="E14" s="35"/>
      <c r="F14" s="33"/>
      <c r="G14" s="35"/>
      <c r="H14" s="33"/>
      <c r="I14" s="35"/>
      <c r="J14" s="33"/>
      <c r="K14" s="35"/>
      <c r="L14" s="33"/>
      <c r="M14" s="35"/>
      <c r="N14" s="33"/>
      <c r="O14" s="35"/>
      <c r="P14" s="33"/>
      <c r="Q14" s="35"/>
      <c r="R14" s="33"/>
      <c r="S14" s="35"/>
      <c r="T14" s="33"/>
      <c r="U14" s="35"/>
      <c r="V14" s="33"/>
      <c r="W14" s="35"/>
      <c r="X14" s="33"/>
      <c r="Y14" s="35"/>
      <c r="Z14" s="33"/>
      <c r="AA14" s="35"/>
      <c r="AB14" s="33"/>
      <c r="AC14" s="35"/>
      <c r="AD14" s="33"/>
      <c r="AE14" s="35"/>
      <c r="AF14" s="33"/>
      <c r="AG14" s="35"/>
      <c r="AH14" s="33"/>
      <c r="AI14" s="35"/>
      <c r="AJ14" s="33"/>
      <c r="AK14" s="35"/>
      <c r="AL14" s="33"/>
      <c r="AM14" s="35"/>
      <c r="AN14" s="33"/>
      <c r="AO14" s="47"/>
      <c r="AP14" s="33"/>
      <c r="AQ14" s="9">
        <v>46113</v>
      </c>
      <c r="AR14" s="9">
        <f t="shared" si="0"/>
        <v>46157</v>
      </c>
      <c r="AS14" s="10">
        <v>45</v>
      </c>
      <c r="AT14" s="6" t="str">
        <f>"Training"</f>
        <v>Training</v>
      </c>
    </row>
    <row r="15" spans="1:46" x14ac:dyDescent="0.3">
      <c r="B15" s="48"/>
      <c r="C15" s="35"/>
      <c r="D15" s="33"/>
      <c r="E15" s="35"/>
      <c r="F15" s="33"/>
      <c r="G15" s="35"/>
      <c r="H15" s="33"/>
      <c r="I15" s="35"/>
      <c r="J15" s="33"/>
      <c r="K15" s="35"/>
      <c r="L15" s="33"/>
      <c r="M15" s="35"/>
      <c r="N15" s="33"/>
      <c r="O15" s="35"/>
      <c r="P15" s="33"/>
      <c r="Q15" s="35"/>
      <c r="R15" s="33"/>
      <c r="S15" s="35"/>
      <c r="T15" s="33"/>
      <c r="U15" s="35"/>
      <c r="V15" s="33"/>
      <c r="W15" s="54"/>
      <c r="X15" s="54"/>
      <c r="Y15" s="41"/>
      <c r="Z15" s="41"/>
      <c r="AA15" s="35"/>
      <c r="AB15" s="33"/>
      <c r="AC15" s="35"/>
      <c r="AD15" s="33"/>
      <c r="AE15" s="35"/>
      <c r="AF15" s="33"/>
      <c r="AG15" s="35"/>
      <c r="AH15" s="33"/>
      <c r="AI15" s="35"/>
      <c r="AJ15" s="33"/>
      <c r="AK15" s="35"/>
      <c r="AL15" s="33"/>
      <c r="AM15" s="35"/>
      <c r="AN15" s="33"/>
      <c r="AO15" s="47"/>
      <c r="AP15" s="33"/>
      <c r="AQ15" s="9">
        <v>46143</v>
      </c>
      <c r="AR15" s="9">
        <f t="shared" si="0"/>
        <v>46157</v>
      </c>
      <c r="AS15" s="10">
        <v>15</v>
      </c>
      <c r="AT15" s="6" t="s">
        <v>69</v>
      </c>
    </row>
    <row r="16" spans="1:46" x14ac:dyDescent="0.3">
      <c r="B16" s="48"/>
      <c r="C16" s="35"/>
      <c r="D16" s="33"/>
      <c r="E16" s="35"/>
      <c r="F16" s="33"/>
      <c r="G16" s="35"/>
      <c r="H16" s="33"/>
      <c r="I16" s="35"/>
      <c r="J16" s="33"/>
      <c r="K16" s="35"/>
      <c r="L16" s="33"/>
      <c r="M16" s="35"/>
      <c r="N16" s="33"/>
      <c r="O16" s="35"/>
      <c r="P16" s="33"/>
      <c r="Q16" s="35"/>
      <c r="R16" s="33"/>
      <c r="S16" s="35"/>
      <c r="T16" s="33"/>
      <c r="U16" s="35"/>
      <c r="V16" s="33"/>
      <c r="W16" s="35"/>
      <c r="X16" s="33"/>
      <c r="Y16" s="35"/>
      <c r="Z16" s="33"/>
      <c r="AA16" s="35"/>
      <c r="AB16" s="33"/>
      <c r="AC16" s="35"/>
      <c r="AD16" s="33"/>
      <c r="AE16" s="35"/>
      <c r="AF16" s="33"/>
      <c r="AG16" s="35"/>
      <c r="AH16" s="33"/>
      <c r="AI16" s="35"/>
      <c r="AJ16" s="33"/>
      <c r="AK16" s="35"/>
      <c r="AL16" s="33"/>
      <c r="AM16" s="35"/>
      <c r="AN16" s="33"/>
      <c r="AO16" s="47"/>
      <c r="AP16" s="33"/>
      <c r="AQ16" s="9">
        <v>46185</v>
      </c>
      <c r="AR16" s="9">
        <f t="shared" si="0"/>
        <v>46185</v>
      </c>
      <c r="AS16" s="10">
        <v>1</v>
      </c>
      <c r="AT16" s="6" t="str">
        <f>"Cut Over"</f>
        <v>Cut Over</v>
      </c>
    </row>
    <row r="17" spans="1:46" x14ac:dyDescent="0.3">
      <c r="B17" s="48"/>
      <c r="C17" s="35"/>
      <c r="D17" s="33"/>
      <c r="E17" s="35"/>
      <c r="F17" s="33"/>
      <c r="G17" s="35"/>
      <c r="H17" s="33"/>
      <c r="I17" s="35"/>
      <c r="J17" s="33"/>
      <c r="K17" s="35"/>
      <c r="L17" s="33"/>
      <c r="M17" s="35"/>
      <c r="N17" s="33"/>
      <c r="O17" s="35"/>
      <c r="P17" s="33"/>
      <c r="Q17" s="35"/>
      <c r="R17" s="33"/>
      <c r="S17" s="35"/>
      <c r="T17" s="33"/>
      <c r="U17" s="35"/>
      <c r="V17" s="33"/>
      <c r="W17" s="35"/>
      <c r="X17" s="33"/>
      <c r="Y17" s="35"/>
      <c r="Z17" s="33"/>
      <c r="AA17" s="147"/>
      <c r="AB17" s="147"/>
      <c r="AC17" s="147"/>
      <c r="AD17" s="147"/>
      <c r="AE17" s="147"/>
      <c r="AF17" s="147"/>
      <c r="AG17" s="147"/>
      <c r="AH17" s="147"/>
      <c r="AI17" s="35"/>
      <c r="AJ17" s="33"/>
      <c r="AK17" s="35"/>
      <c r="AL17" s="33"/>
      <c r="AM17" s="35"/>
      <c r="AN17" s="33"/>
      <c r="AO17" s="47"/>
      <c r="AP17" s="33"/>
      <c r="AQ17" s="9">
        <v>46204</v>
      </c>
      <c r="AR17" s="9">
        <f t="shared" si="0"/>
        <v>46204</v>
      </c>
      <c r="AS17" s="10">
        <v>1</v>
      </c>
      <c r="AT17" s="6" t="str">
        <f>"Go-Live"</f>
        <v>Go-Live</v>
      </c>
    </row>
    <row r="18" spans="1:46" x14ac:dyDescent="0.3">
      <c r="B18" s="48"/>
      <c r="C18" s="35"/>
      <c r="D18" s="33"/>
      <c r="E18" s="35"/>
      <c r="F18" s="33"/>
      <c r="G18" s="35"/>
      <c r="H18" s="33"/>
      <c r="I18" s="35"/>
      <c r="J18" s="33"/>
      <c r="K18" s="35"/>
      <c r="L18" s="33"/>
      <c r="M18" s="35"/>
      <c r="N18" s="33"/>
      <c r="O18" s="35"/>
      <c r="P18" s="33"/>
      <c r="Q18" s="35"/>
      <c r="R18" s="33"/>
      <c r="S18" s="35"/>
      <c r="T18" s="33"/>
      <c r="U18" s="35"/>
      <c r="V18" s="33"/>
      <c r="W18" s="35"/>
      <c r="X18" s="33"/>
      <c r="Y18" s="35"/>
      <c r="Z18" s="33"/>
      <c r="AA18" s="35"/>
      <c r="AB18" s="33"/>
      <c r="AC18" s="35"/>
      <c r="AD18" s="33"/>
      <c r="AE18" s="35"/>
      <c r="AF18" s="33"/>
      <c r="AG18" s="35"/>
      <c r="AH18" s="33"/>
      <c r="AI18" s="35"/>
      <c r="AJ18" s="33"/>
      <c r="AK18" s="35"/>
      <c r="AL18" s="33"/>
      <c r="AM18" s="35"/>
      <c r="AN18" s="33"/>
      <c r="AO18" s="47"/>
      <c r="AP18" s="33"/>
      <c r="AQ18" s="9">
        <v>46235</v>
      </c>
      <c r="AR18" s="9">
        <f t="shared" si="0"/>
        <v>46235</v>
      </c>
      <c r="AS18" s="10">
        <v>1</v>
      </c>
      <c r="AT18" s="6" t="s">
        <v>70</v>
      </c>
    </row>
    <row r="19" spans="1:46" x14ac:dyDescent="0.3">
      <c r="B19" s="48"/>
      <c r="C19" s="35"/>
      <c r="D19" s="33"/>
      <c r="E19" s="35"/>
      <c r="F19" s="33"/>
      <c r="G19" s="35"/>
      <c r="H19" s="33"/>
      <c r="I19" s="35"/>
      <c r="J19" s="33"/>
      <c r="K19" s="35"/>
      <c r="L19" s="33"/>
      <c r="M19" s="35"/>
      <c r="N19" s="33"/>
      <c r="O19" s="35"/>
      <c r="P19" s="33"/>
      <c r="Q19" s="35"/>
      <c r="R19" s="33"/>
      <c r="S19" s="35"/>
      <c r="T19" s="33"/>
      <c r="U19" s="35"/>
      <c r="V19" s="33"/>
      <c r="W19" s="35"/>
      <c r="X19" s="33"/>
      <c r="Y19" s="35"/>
      <c r="Z19" s="33"/>
      <c r="AA19" s="35"/>
      <c r="AB19" s="33"/>
      <c r="AC19" s="35"/>
      <c r="AD19" s="33"/>
      <c r="AE19" s="35"/>
      <c r="AF19" s="33"/>
      <c r="AG19" s="148"/>
      <c r="AH19" s="148"/>
      <c r="AI19" s="146"/>
      <c r="AJ19" s="33"/>
      <c r="AK19" s="35"/>
      <c r="AL19" s="33"/>
      <c r="AM19" s="35"/>
      <c r="AN19" s="33"/>
      <c r="AO19" s="47"/>
      <c r="AP19" s="33"/>
    </row>
    <row r="20" spans="1:46" x14ac:dyDescent="0.3">
      <c r="B20" s="48"/>
      <c r="C20" s="35"/>
      <c r="D20" s="33"/>
      <c r="E20" s="35"/>
      <c r="F20" s="33"/>
      <c r="G20" s="35"/>
      <c r="H20" s="33"/>
      <c r="I20" s="35"/>
      <c r="J20" s="33"/>
      <c r="K20" s="35"/>
      <c r="L20" s="33"/>
      <c r="M20" s="35"/>
      <c r="N20" s="33"/>
      <c r="O20" s="35"/>
      <c r="P20" s="33"/>
      <c r="Q20" s="35"/>
      <c r="R20" s="33"/>
      <c r="S20" s="35"/>
      <c r="T20" s="33"/>
      <c r="U20" s="35"/>
      <c r="V20" s="33"/>
      <c r="W20" s="35"/>
      <c r="X20" s="33"/>
      <c r="Y20" s="35"/>
      <c r="Z20" s="33"/>
      <c r="AA20" s="35"/>
      <c r="AB20" s="33"/>
      <c r="AC20" s="35"/>
      <c r="AD20" s="33"/>
      <c r="AE20" s="35"/>
      <c r="AF20" s="33"/>
      <c r="AG20" s="35"/>
      <c r="AH20" s="33"/>
      <c r="AI20" s="35"/>
      <c r="AJ20" s="33"/>
      <c r="AK20" s="35"/>
      <c r="AL20" s="33"/>
      <c r="AM20" s="35"/>
      <c r="AN20" s="33"/>
      <c r="AO20" s="47"/>
      <c r="AP20" s="33"/>
      <c r="AQ20" s="33"/>
      <c r="AR20" s="33"/>
      <c r="AS20" s="33"/>
      <c r="AT20" s="33"/>
    </row>
    <row r="21" spans="1:46" x14ac:dyDescent="0.3">
      <c r="B21" s="48"/>
      <c r="C21" s="35"/>
      <c r="D21" s="33"/>
      <c r="E21" s="35"/>
      <c r="F21" s="33"/>
      <c r="G21" s="35"/>
      <c r="H21" s="33"/>
      <c r="I21" s="35"/>
      <c r="J21" s="33"/>
      <c r="K21" s="35"/>
      <c r="L21" s="33"/>
      <c r="M21" s="35"/>
      <c r="N21" s="33"/>
      <c r="O21" s="35"/>
      <c r="P21" s="33"/>
      <c r="Q21" s="35"/>
      <c r="R21" s="33"/>
      <c r="S21" s="35"/>
      <c r="T21" s="33"/>
      <c r="U21" s="35"/>
      <c r="V21" s="33"/>
      <c r="W21" s="35"/>
      <c r="X21" s="33"/>
      <c r="Y21" s="35"/>
      <c r="Z21" s="33"/>
      <c r="AA21" s="35"/>
      <c r="AB21" s="33"/>
      <c r="AC21" s="35"/>
      <c r="AD21" s="33"/>
      <c r="AE21" s="35"/>
      <c r="AF21" s="33"/>
      <c r="AG21" s="35"/>
      <c r="AH21" s="55"/>
      <c r="AI21" s="39"/>
      <c r="AJ21" s="33"/>
      <c r="AK21" s="35"/>
      <c r="AL21" s="33"/>
      <c r="AM21" s="35"/>
      <c r="AN21" s="33"/>
      <c r="AO21" s="47"/>
      <c r="AP21" s="33"/>
      <c r="AQ21" s="33"/>
      <c r="AR21" s="33"/>
      <c r="AS21" s="33"/>
      <c r="AT21" s="33"/>
    </row>
    <row r="22" spans="1:46" x14ac:dyDescent="0.3">
      <c r="B22" s="48"/>
      <c r="C22" s="35"/>
      <c r="D22" s="33"/>
      <c r="E22" s="35"/>
      <c r="F22" s="33"/>
      <c r="G22" s="35"/>
      <c r="H22" s="33"/>
      <c r="I22" s="35"/>
      <c r="J22" s="33"/>
      <c r="K22" s="35"/>
      <c r="L22" s="33"/>
      <c r="M22" s="35"/>
      <c r="N22" s="33"/>
      <c r="O22" s="35"/>
      <c r="P22" s="33"/>
      <c r="Q22" s="35"/>
      <c r="R22" s="33"/>
      <c r="S22" s="35"/>
      <c r="T22" s="33"/>
      <c r="U22" s="35"/>
      <c r="V22" s="33"/>
      <c r="W22" s="35"/>
      <c r="X22" s="33"/>
      <c r="Y22" s="35"/>
      <c r="Z22" s="33"/>
      <c r="AA22" s="35"/>
      <c r="AB22" s="33"/>
      <c r="AC22" s="35"/>
      <c r="AD22" s="33"/>
      <c r="AE22" s="35"/>
      <c r="AF22" s="33"/>
      <c r="AG22" s="35"/>
      <c r="AH22" s="33"/>
      <c r="AI22" s="35"/>
      <c r="AJ22" s="56" t="s">
        <v>61</v>
      </c>
      <c r="AK22" s="35"/>
      <c r="AL22" s="33"/>
      <c r="AM22" s="35"/>
      <c r="AN22" s="33"/>
      <c r="AO22" s="47"/>
      <c r="AP22" s="33"/>
      <c r="AQ22" s="33" t="s">
        <v>68</v>
      </c>
      <c r="AR22" s="33"/>
      <c r="AS22" s="33"/>
      <c r="AT22" s="33"/>
    </row>
    <row r="23" spans="1:46" x14ac:dyDescent="0.3">
      <c r="B23" s="48"/>
      <c r="C23" s="35"/>
      <c r="D23" s="33"/>
      <c r="E23" s="35"/>
      <c r="F23" s="33"/>
      <c r="G23" s="35"/>
      <c r="H23" s="33"/>
      <c r="I23" s="35"/>
      <c r="J23" s="33"/>
      <c r="K23" s="35"/>
      <c r="L23" s="33"/>
      <c r="M23" s="35"/>
      <c r="N23" s="33"/>
      <c r="O23" s="35"/>
      <c r="P23" s="33"/>
      <c r="Q23" s="35"/>
      <c r="R23" s="33"/>
      <c r="S23" s="35"/>
      <c r="T23" s="33"/>
      <c r="U23" s="35"/>
      <c r="V23" s="33"/>
      <c r="W23" s="35"/>
      <c r="X23" s="33"/>
      <c r="Y23" s="35"/>
      <c r="Z23" s="33"/>
      <c r="AA23" s="35"/>
      <c r="AB23" s="33"/>
      <c r="AC23" s="35"/>
      <c r="AD23" s="33"/>
      <c r="AE23" s="35"/>
      <c r="AF23" s="33"/>
      <c r="AG23" s="35"/>
      <c r="AH23" s="33"/>
      <c r="AI23" s="35"/>
      <c r="AJ23" s="34"/>
      <c r="AK23" s="133" t="str">
        <f>AT17</f>
        <v>Go-Live</v>
      </c>
      <c r="AL23" s="134"/>
      <c r="AM23" s="134"/>
      <c r="AN23" s="135"/>
      <c r="AO23" s="47"/>
      <c r="AP23" s="33"/>
      <c r="AQ23" s="33"/>
      <c r="AR23" s="33"/>
      <c r="AS23" s="33"/>
      <c r="AT23" s="33"/>
    </row>
    <row r="24" spans="1:46" ht="15" thickBot="1" x14ac:dyDescent="0.35">
      <c r="B24" s="49"/>
      <c r="C24" s="50"/>
      <c r="D24" s="51"/>
      <c r="E24" s="50"/>
      <c r="F24" s="51"/>
      <c r="G24" s="50"/>
      <c r="H24" s="51"/>
      <c r="I24" s="50"/>
      <c r="J24" s="51"/>
      <c r="K24" s="50"/>
      <c r="L24" s="51"/>
      <c r="M24" s="50"/>
      <c r="N24" s="51"/>
      <c r="O24" s="50"/>
      <c r="P24" s="51"/>
      <c r="Q24" s="50"/>
      <c r="R24" s="51"/>
      <c r="S24" s="50"/>
      <c r="T24" s="51"/>
      <c r="U24" s="50"/>
      <c r="V24" s="51"/>
      <c r="W24" s="50"/>
      <c r="X24" s="51"/>
      <c r="Y24" s="50"/>
      <c r="Z24" s="51"/>
      <c r="AA24" s="50"/>
      <c r="AB24" s="51"/>
      <c r="AC24" s="50"/>
      <c r="AD24" s="51"/>
      <c r="AE24" s="50"/>
      <c r="AF24" s="51"/>
      <c r="AG24" s="50"/>
      <c r="AH24" s="51"/>
      <c r="AI24" s="50"/>
      <c r="AJ24" s="51"/>
      <c r="AK24" s="51"/>
      <c r="AL24" s="136" t="str">
        <f>AT18</f>
        <v>Post Implementation</v>
      </c>
      <c r="AM24" s="137"/>
      <c r="AN24" s="137"/>
      <c r="AO24" s="138"/>
      <c r="AP24" s="33"/>
      <c r="AQ24" s="33"/>
      <c r="AR24" s="33"/>
      <c r="AS24" s="33"/>
      <c r="AT24" s="33"/>
    </row>
    <row r="25" spans="1:46" x14ac:dyDescent="0.3">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Q25" s="33"/>
      <c r="AR25" s="33"/>
      <c r="AS25" s="33"/>
      <c r="AT25" s="33"/>
    </row>
    <row r="26" spans="1:46" x14ac:dyDescent="0.3">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row>
    <row r="27" spans="1:46" x14ac:dyDescent="0.3">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row>
    <row r="28" spans="1:46" x14ac:dyDescent="0.3">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row>
    <row r="29" spans="1:46" x14ac:dyDescent="0.3">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row>
    <row r="30" spans="1:46" x14ac:dyDescent="0.3">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row>
    <row r="31" spans="1:46" x14ac:dyDescent="0.3">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row>
    <row r="32" spans="1:46" x14ac:dyDescent="0.3">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row>
    <row r="33" spans="1:46" x14ac:dyDescent="0.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row>
    <row r="34" spans="1:46" x14ac:dyDescent="0.3">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row>
    <row r="35" spans="1:46" x14ac:dyDescent="0.3">
      <c r="AQ35" s="33"/>
      <c r="AR35" s="33"/>
      <c r="AS35" s="33"/>
      <c r="AT35" s="33"/>
    </row>
  </sheetData>
  <mergeCells count="30">
    <mergeCell ref="N1:R1"/>
    <mergeCell ref="V1:Z1"/>
    <mergeCell ref="B2:C2"/>
    <mergeCell ref="D2:E2"/>
    <mergeCell ref="F2:G2"/>
    <mergeCell ref="H2:I2"/>
    <mergeCell ref="J2:K2"/>
    <mergeCell ref="L2:M2"/>
    <mergeCell ref="N2:O2"/>
    <mergeCell ref="P2:Q2"/>
    <mergeCell ref="AN2:AO2"/>
    <mergeCell ref="R2:S2"/>
    <mergeCell ref="T2:U2"/>
    <mergeCell ref="V2:W2"/>
    <mergeCell ref="X2:Y2"/>
    <mergeCell ref="Z2:AA2"/>
    <mergeCell ref="AB2:AC2"/>
    <mergeCell ref="AD2:AE2"/>
    <mergeCell ref="AF2:AG2"/>
    <mergeCell ref="AH2:AI2"/>
    <mergeCell ref="AJ2:AK2"/>
    <mergeCell ref="AL2:AM2"/>
    <mergeCell ref="AK23:AN23"/>
    <mergeCell ref="AL24:AO24"/>
    <mergeCell ref="B3:J3"/>
    <mergeCell ref="L9:Q9"/>
    <mergeCell ref="P11:V11"/>
    <mergeCell ref="V13:W13"/>
    <mergeCell ref="AA17:AH17"/>
    <mergeCell ref="AG19:AI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5E9E-9FDA-4990-B9EB-81D0A47F573A}">
  <dimension ref="A1:AT34"/>
  <sheetViews>
    <sheetView topLeftCell="A8" workbookViewId="0">
      <selection activeCell="AT10" sqref="AT10"/>
    </sheetView>
  </sheetViews>
  <sheetFormatPr defaultRowHeight="14.4" x14ac:dyDescent="0.3"/>
  <cols>
    <col min="1" max="1" width="5.77734375" customWidth="1"/>
    <col min="2" max="41" width="3.33203125" customWidth="1"/>
    <col min="43" max="43" width="15.109375" customWidth="1"/>
    <col min="44" max="44" width="17.77734375" customWidth="1"/>
    <col min="45" max="45" width="14.88671875" customWidth="1"/>
    <col min="46" max="46" width="19.6640625" customWidth="1"/>
    <col min="47" max="47" width="12.5546875" customWidth="1"/>
    <col min="48" max="48" width="13.6640625" customWidth="1"/>
  </cols>
  <sheetData>
    <row r="1" spans="1:46" ht="26.4" customHeight="1" x14ac:dyDescent="0.3">
      <c r="A1" s="33"/>
      <c r="B1" s="42"/>
      <c r="C1" s="43"/>
      <c r="D1" s="43"/>
      <c r="E1" s="44"/>
      <c r="F1" s="44" t="s">
        <v>63</v>
      </c>
      <c r="G1" s="44"/>
      <c r="H1" s="44"/>
      <c r="I1" s="44"/>
      <c r="J1" s="44"/>
      <c r="K1" s="44"/>
      <c r="L1" s="43"/>
      <c r="M1" s="43"/>
      <c r="N1" s="152" t="s">
        <v>64</v>
      </c>
      <c r="O1" s="152"/>
      <c r="P1" s="152"/>
      <c r="Q1" s="152"/>
      <c r="R1" s="152"/>
      <c r="S1" s="43"/>
      <c r="T1" s="43"/>
      <c r="U1" s="43"/>
      <c r="V1" s="153" t="s">
        <v>65</v>
      </c>
      <c r="W1" s="153"/>
      <c r="X1" s="153"/>
      <c r="Y1" s="153"/>
      <c r="Z1" s="153"/>
      <c r="AA1" s="43"/>
      <c r="AB1" s="45"/>
      <c r="AC1" s="45"/>
      <c r="AD1" s="45"/>
      <c r="AE1" s="45"/>
      <c r="AF1" s="45"/>
      <c r="AG1" s="45"/>
      <c r="AH1" s="45"/>
      <c r="AI1" s="45"/>
      <c r="AJ1" s="45"/>
      <c r="AK1" s="45"/>
      <c r="AL1" s="45"/>
      <c r="AM1" s="45"/>
      <c r="AN1" s="45"/>
      <c r="AO1" s="46"/>
    </row>
    <row r="2" spans="1:46" ht="18" x14ac:dyDescent="0.3">
      <c r="B2" s="154" t="s">
        <v>36</v>
      </c>
      <c r="C2" s="149"/>
      <c r="D2" s="150" t="s">
        <v>37</v>
      </c>
      <c r="E2" s="150"/>
      <c r="F2" s="149" t="s">
        <v>38</v>
      </c>
      <c r="G2" s="149"/>
      <c r="H2" s="150" t="s">
        <v>39</v>
      </c>
      <c r="I2" s="150"/>
      <c r="J2" s="149" t="s">
        <v>40</v>
      </c>
      <c r="K2" s="149"/>
      <c r="L2" s="150" t="s">
        <v>41</v>
      </c>
      <c r="M2" s="150"/>
      <c r="N2" s="149" t="s">
        <v>42</v>
      </c>
      <c r="O2" s="149"/>
      <c r="P2" s="150" t="s">
        <v>43</v>
      </c>
      <c r="Q2" s="150"/>
      <c r="R2" s="149" t="s">
        <v>44</v>
      </c>
      <c r="S2" s="149"/>
      <c r="T2" s="150" t="s">
        <v>45</v>
      </c>
      <c r="U2" s="150"/>
      <c r="V2" s="149" t="s">
        <v>46</v>
      </c>
      <c r="W2" s="149"/>
      <c r="X2" s="150" t="s">
        <v>47</v>
      </c>
      <c r="Y2" s="150"/>
      <c r="Z2" s="149" t="s">
        <v>36</v>
      </c>
      <c r="AA2" s="149"/>
      <c r="AB2" s="150" t="s">
        <v>37</v>
      </c>
      <c r="AC2" s="150"/>
      <c r="AD2" s="149" t="s">
        <v>38</v>
      </c>
      <c r="AE2" s="149"/>
      <c r="AF2" s="150" t="s">
        <v>39</v>
      </c>
      <c r="AG2" s="150"/>
      <c r="AH2" s="149" t="s">
        <v>40</v>
      </c>
      <c r="AI2" s="149"/>
      <c r="AJ2" s="150" t="s">
        <v>41</v>
      </c>
      <c r="AK2" s="150"/>
      <c r="AL2" s="149" t="s">
        <v>42</v>
      </c>
      <c r="AM2" s="149"/>
      <c r="AN2" s="150" t="s">
        <v>43</v>
      </c>
      <c r="AO2" s="151"/>
      <c r="AP2" s="33"/>
      <c r="AQ2" s="2" t="s">
        <v>8</v>
      </c>
      <c r="AR2" s="2" t="s">
        <v>5</v>
      </c>
      <c r="AS2" s="2" t="s">
        <v>4</v>
      </c>
      <c r="AT2" s="2" t="s">
        <v>66</v>
      </c>
    </row>
    <row r="3" spans="1:46" x14ac:dyDescent="0.3">
      <c r="B3" s="155" t="s">
        <v>35</v>
      </c>
      <c r="C3" s="156"/>
      <c r="D3" s="156"/>
      <c r="E3" s="156"/>
      <c r="F3" s="156"/>
      <c r="G3" s="156"/>
      <c r="H3" s="156"/>
      <c r="I3" s="157"/>
      <c r="J3" s="33"/>
      <c r="K3" s="33"/>
      <c r="L3" s="33"/>
      <c r="M3" s="35"/>
      <c r="N3" s="33"/>
      <c r="O3" s="33"/>
      <c r="P3" s="33"/>
      <c r="Q3" s="35"/>
      <c r="R3" s="33"/>
      <c r="S3" s="33"/>
      <c r="T3" s="33"/>
      <c r="U3" s="33"/>
      <c r="V3" s="33"/>
      <c r="W3" s="33"/>
      <c r="X3" s="33"/>
      <c r="Y3" s="35"/>
      <c r="Z3" s="33"/>
      <c r="AA3" s="35"/>
      <c r="AB3" s="33"/>
      <c r="AC3" s="35"/>
      <c r="AD3" s="33"/>
      <c r="AE3" s="35"/>
      <c r="AF3" s="33"/>
      <c r="AG3" s="33"/>
      <c r="AH3" s="33"/>
      <c r="AI3" s="33"/>
      <c r="AJ3" s="33"/>
      <c r="AK3" s="33"/>
      <c r="AL3" s="33"/>
      <c r="AM3" s="33"/>
      <c r="AN3" s="33"/>
      <c r="AO3" s="47"/>
      <c r="AP3" s="33"/>
      <c r="AQ3" s="13"/>
      <c r="AR3" s="13"/>
      <c r="AS3" s="14"/>
      <c r="AT3" s="15"/>
    </row>
    <row r="4" spans="1:46" x14ac:dyDescent="0.3">
      <c r="B4" s="48"/>
      <c r="C4" s="33"/>
      <c r="D4" s="34"/>
      <c r="E4" s="33"/>
      <c r="F4" s="34"/>
      <c r="G4" s="35"/>
      <c r="H4" s="52" t="s">
        <v>48</v>
      </c>
      <c r="I4" s="36"/>
      <c r="J4" s="33"/>
      <c r="K4" s="35"/>
      <c r="L4" s="33"/>
      <c r="M4" s="35"/>
      <c r="N4" s="33"/>
      <c r="O4" s="35"/>
      <c r="P4" s="33"/>
      <c r="Q4" s="35"/>
      <c r="R4" s="33"/>
      <c r="S4" s="35"/>
      <c r="T4" s="33"/>
      <c r="U4" s="35"/>
      <c r="V4" s="33"/>
      <c r="W4" s="35"/>
      <c r="X4" s="33"/>
      <c r="Y4" s="35"/>
      <c r="Z4" s="33"/>
      <c r="AA4" s="35"/>
      <c r="AB4" s="33"/>
      <c r="AC4" s="35"/>
      <c r="AD4" s="33"/>
      <c r="AE4" s="35"/>
      <c r="AF4" s="33"/>
      <c r="AG4" s="35"/>
      <c r="AH4" s="33"/>
      <c r="AI4" s="35"/>
      <c r="AJ4" s="33"/>
      <c r="AK4" s="35"/>
      <c r="AL4" s="33"/>
      <c r="AM4" s="35"/>
      <c r="AN4" s="33"/>
      <c r="AO4" s="47"/>
      <c r="AP4" s="33"/>
      <c r="AQ4" s="9">
        <v>45658</v>
      </c>
      <c r="AR4" s="9">
        <f t="shared" ref="AR4:AR17" si="0">AQ4+AS4-1</f>
        <v>45777</v>
      </c>
      <c r="AS4" s="10">
        <v>120</v>
      </c>
      <c r="AT4" s="6" t="str">
        <f>"Planning"</f>
        <v>Planning</v>
      </c>
    </row>
    <row r="5" spans="1:46" x14ac:dyDescent="0.3">
      <c r="B5" s="48"/>
      <c r="C5" s="35"/>
      <c r="D5" s="33"/>
      <c r="E5" s="35"/>
      <c r="F5" s="33"/>
      <c r="G5" s="35"/>
      <c r="H5" s="33"/>
      <c r="I5" s="35"/>
      <c r="J5" s="52" t="s">
        <v>50</v>
      </c>
      <c r="K5" s="35"/>
      <c r="L5" s="33"/>
      <c r="M5" s="35"/>
      <c r="N5" s="33"/>
      <c r="O5" s="35"/>
      <c r="P5" s="33"/>
      <c r="Q5" s="35"/>
      <c r="R5" s="33"/>
      <c r="S5" s="35"/>
      <c r="T5" s="33"/>
      <c r="U5" s="35"/>
      <c r="V5" s="33"/>
      <c r="W5" s="35"/>
      <c r="X5" s="33"/>
      <c r="Y5" s="35"/>
      <c r="Z5" s="33"/>
      <c r="AA5" s="35"/>
      <c r="AB5" s="33"/>
      <c r="AC5" s="35"/>
      <c r="AD5" s="33"/>
      <c r="AE5" s="35"/>
      <c r="AF5" s="33"/>
      <c r="AG5" s="35"/>
      <c r="AH5" s="33"/>
      <c r="AI5" s="35"/>
      <c r="AJ5" s="33"/>
      <c r="AK5" s="35"/>
      <c r="AL5" s="33"/>
      <c r="AM5" s="35"/>
      <c r="AN5" s="33"/>
      <c r="AO5" s="47"/>
      <c r="AP5" s="33"/>
      <c r="AQ5" s="9">
        <v>45762</v>
      </c>
      <c r="AR5" s="9">
        <f t="shared" si="0"/>
        <v>45776</v>
      </c>
      <c r="AS5" s="10">
        <v>15</v>
      </c>
      <c r="AT5" s="6" t="str">
        <f>"Onboard Resources"</f>
        <v>Onboard Resources</v>
      </c>
    </row>
    <row r="6" spans="1:46" x14ac:dyDescent="0.3">
      <c r="B6" s="48"/>
      <c r="C6" s="35"/>
      <c r="D6" s="33"/>
      <c r="E6" s="35"/>
      <c r="F6" s="33"/>
      <c r="G6" s="35"/>
      <c r="H6" s="33"/>
      <c r="I6" s="35"/>
      <c r="J6" s="33"/>
      <c r="K6" s="35"/>
      <c r="L6" s="33"/>
      <c r="M6" s="35"/>
      <c r="N6" s="33"/>
      <c r="O6" s="35"/>
      <c r="P6" s="33"/>
      <c r="Q6" s="35"/>
      <c r="R6" s="33"/>
      <c r="S6" s="35"/>
      <c r="T6" s="33"/>
      <c r="U6" s="35"/>
      <c r="V6" s="33"/>
      <c r="W6" s="35"/>
      <c r="X6" s="33"/>
      <c r="Y6" s="35"/>
      <c r="Z6" s="33"/>
      <c r="AA6" s="35"/>
      <c r="AB6" s="33"/>
      <c r="AC6" s="35"/>
      <c r="AD6" s="33"/>
      <c r="AE6" s="35"/>
      <c r="AF6" s="33"/>
      <c r="AG6" s="35"/>
      <c r="AH6" s="33"/>
      <c r="AI6" s="35"/>
      <c r="AJ6" s="33"/>
      <c r="AK6" s="35"/>
      <c r="AL6" s="33"/>
      <c r="AM6" s="35"/>
      <c r="AN6" s="33"/>
      <c r="AO6" s="47"/>
      <c r="AP6" s="33"/>
      <c r="AQ6" s="9">
        <v>45778</v>
      </c>
      <c r="AR6" s="9">
        <f t="shared" si="0"/>
        <v>45782</v>
      </c>
      <c r="AS6" s="10">
        <v>5</v>
      </c>
      <c r="AT6" s="6" t="str">
        <f>"Project Kickoff"</f>
        <v>Project Kickoff</v>
      </c>
    </row>
    <row r="7" spans="1:46" x14ac:dyDescent="0.3">
      <c r="B7" s="48"/>
      <c r="C7" s="35"/>
      <c r="D7" s="33"/>
      <c r="E7" s="35"/>
      <c r="F7" s="33"/>
      <c r="G7" s="35"/>
      <c r="H7" s="33"/>
      <c r="I7" s="37"/>
      <c r="J7" s="53" t="s">
        <v>49</v>
      </c>
      <c r="K7" s="36"/>
      <c r="L7" s="38"/>
      <c r="M7" s="35"/>
      <c r="N7" s="33"/>
      <c r="O7" s="35"/>
      <c r="P7" s="33"/>
      <c r="Q7" s="35"/>
      <c r="R7" s="33"/>
      <c r="S7" s="35"/>
      <c r="T7" s="33"/>
      <c r="U7" s="35"/>
      <c r="V7" s="33"/>
      <c r="W7" s="35"/>
      <c r="X7" s="33"/>
      <c r="Y7" s="35"/>
      <c r="Z7" s="33"/>
      <c r="AA7" s="35"/>
      <c r="AB7" s="33"/>
      <c r="AC7" s="35"/>
      <c r="AD7" s="33"/>
      <c r="AE7" s="35"/>
      <c r="AF7" s="33"/>
      <c r="AG7" s="35"/>
      <c r="AH7" s="33"/>
      <c r="AI7" s="35"/>
      <c r="AJ7" s="33"/>
      <c r="AK7" s="35"/>
      <c r="AL7" s="33"/>
      <c r="AM7" s="35"/>
      <c r="AN7" s="33"/>
      <c r="AO7" s="47"/>
      <c r="AP7" s="33"/>
      <c r="AQ7" s="9">
        <v>45778</v>
      </c>
      <c r="AR7" s="9">
        <f t="shared" si="0"/>
        <v>45822</v>
      </c>
      <c r="AS7" s="10">
        <v>45</v>
      </c>
      <c r="AT7" s="6" t="str">
        <f>"Assessment"</f>
        <v>Assessment</v>
      </c>
    </row>
    <row r="8" spans="1:46" x14ac:dyDescent="0.3">
      <c r="B8" s="48"/>
      <c r="C8" s="35"/>
      <c r="D8" s="33"/>
      <c r="E8" s="35"/>
      <c r="F8" s="33"/>
      <c r="G8" s="35"/>
      <c r="H8" s="33"/>
      <c r="I8" s="35"/>
      <c r="J8" s="33"/>
      <c r="K8" s="35"/>
      <c r="L8" s="33"/>
      <c r="M8" s="35"/>
      <c r="N8" s="33"/>
      <c r="O8" s="37"/>
      <c r="P8" s="33"/>
      <c r="Q8" s="35"/>
      <c r="R8" s="33"/>
      <c r="S8" s="35"/>
      <c r="T8" s="33"/>
      <c r="U8" s="35"/>
      <c r="V8" s="33"/>
      <c r="W8" s="35"/>
      <c r="X8" s="33"/>
      <c r="Y8" s="35"/>
      <c r="Z8" s="33"/>
      <c r="AA8" s="35"/>
      <c r="AB8" s="33"/>
      <c r="AC8" s="35"/>
      <c r="AD8" s="33"/>
      <c r="AE8" s="35"/>
      <c r="AF8" s="33"/>
      <c r="AG8" s="35"/>
      <c r="AH8" s="33"/>
      <c r="AI8" s="35"/>
      <c r="AJ8" s="33"/>
      <c r="AK8" s="35"/>
      <c r="AL8" s="33"/>
      <c r="AM8" s="35"/>
      <c r="AN8" s="33"/>
      <c r="AO8" s="47"/>
      <c r="AP8" s="33"/>
      <c r="AQ8" s="9">
        <v>45809</v>
      </c>
      <c r="AR8" s="9">
        <f t="shared" si="0"/>
        <v>45898</v>
      </c>
      <c r="AS8" s="10">
        <v>90</v>
      </c>
      <c r="AT8" s="6" t="str">
        <f>"Discovery"</f>
        <v>Discovery</v>
      </c>
    </row>
    <row r="9" spans="1:46" x14ac:dyDescent="0.3">
      <c r="B9" s="48"/>
      <c r="C9" s="35"/>
      <c r="D9" s="33"/>
      <c r="E9" s="35"/>
      <c r="F9" s="33"/>
      <c r="G9" s="35"/>
      <c r="H9" s="33"/>
      <c r="I9" s="35"/>
      <c r="J9" s="40"/>
      <c r="L9" s="141" t="s">
        <v>51</v>
      </c>
      <c r="M9" s="141"/>
      <c r="N9" s="141"/>
      <c r="O9" s="141"/>
      <c r="P9" s="141"/>
      <c r="Q9" s="142"/>
      <c r="R9" s="33"/>
      <c r="S9" s="35"/>
      <c r="T9" s="33"/>
      <c r="U9" s="35"/>
      <c r="V9" s="33"/>
      <c r="W9" s="35"/>
      <c r="X9" s="33"/>
      <c r="Y9" s="35"/>
      <c r="Z9" s="33"/>
      <c r="AA9" s="35"/>
      <c r="AB9" s="33"/>
      <c r="AC9" s="35"/>
      <c r="AD9" s="33"/>
      <c r="AE9" s="35"/>
      <c r="AF9" s="33"/>
      <c r="AG9" s="35"/>
      <c r="AH9" s="33"/>
      <c r="AI9" s="35"/>
      <c r="AJ9" s="33"/>
      <c r="AK9" s="35"/>
      <c r="AL9" s="33"/>
      <c r="AM9" s="35"/>
      <c r="AN9" s="33"/>
      <c r="AO9" s="47"/>
      <c r="AP9" s="33"/>
      <c r="AQ9" s="9">
        <v>45870</v>
      </c>
      <c r="AR9" s="9">
        <f t="shared" si="0"/>
        <v>45974</v>
      </c>
      <c r="AS9" s="10">
        <v>105</v>
      </c>
      <c r="AT9" s="6" t="str">
        <f>"Design &amp; Build"</f>
        <v>Design &amp; Build</v>
      </c>
    </row>
    <row r="10" spans="1:46" x14ac:dyDescent="0.3">
      <c r="B10" s="48"/>
      <c r="C10" s="35"/>
      <c r="D10" s="33"/>
      <c r="E10" s="35"/>
      <c r="F10" s="33"/>
      <c r="G10" s="35"/>
      <c r="H10" s="33"/>
      <c r="I10" s="35"/>
      <c r="J10" s="33"/>
      <c r="K10" s="35"/>
      <c r="L10" s="33"/>
      <c r="M10" s="33"/>
      <c r="N10" s="33"/>
      <c r="O10" s="35"/>
      <c r="P10" s="33"/>
      <c r="Q10" s="35"/>
      <c r="R10" s="33"/>
      <c r="S10" s="35"/>
      <c r="T10" s="33"/>
      <c r="U10" s="35"/>
      <c r="V10" s="33"/>
      <c r="W10" s="35"/>
      <c r="X10" s="33"/>
      <c r="Y10" s="35"/>
      <c r="Z10" s="33"/>
      <c r="AA10" s="35"/>
      <c r="AB10" s="33"/>
      <c r="AC10" s="35"/>
      <c r="AD10" s="33"/>
      <c r="AE10" s="35"/>
      <c r="AF10" s="33"/>
      <c r="AG10" s="35"/>
      <c r="AH10" s="33"/>
      <c r="AI10" s="35"/>
      <c r="AJ10" s="33"/>
      <c r="AK10" s="35"/>
      <c r="AL10" s="33"/>
      <c r="AM10" s="35"/>
      <c r="AN10" s="33"/>
      <c r="AO10" s="47"/>
      <c r="AP10" s="33"/>
      <c r="AQ10" s="9">
        <v>45962</v>
      </c>
      <c r="AR10" s="9">
        <f t="shared" si="0"/>
        <v>45991</v>
      </c>
      <c r="AS10" s="10">
        <v>30</v>
      </c>
      <c r="AT10" s="6" t="str">
        <f>"EUAT"</f>
        <v>EUAT</v>
      </c>
    </row>
    <row r="11" spans="1:46" x14ac:dyDescent="0.3">
      <c r="B11" s="48"/>
      <c r="C11" s="35"/>
      <c r="D11" s="33"/>
      <c r="E11" s="35"/>
      <c r="F11" s="33"/>
      <c r="G11" s="35"/>
      <c r="H11" s="33"/>
      <c r="I11" s="35"/>
      <c r="J11" s="33"/>
      <c r="K11" s="35"/>
      <c r="L11" s="33"/>
      <c r="M11" s="35"/>
      <c r="N11" s="33"/>
      <c r="O11" s="35"/>
      <c r="P11" s="143" t="s">
        <v>58</v>
      </c>
      <c r="Q11" s="144"/>
      <c r="R11" s="144"/>
      <c r="S11" s="144"/>
      <c r="T11" s="144"/>
      <c r="U11" s="144"/>
      <c r="V11" s="144"/>
      <c r="W11" s="35"/>
      <c r="X11" s="33"/>
      <c r="Y11" s="35"/>
      <c r="Z11" s="33"/>
      <c r="AA11" s="35"/>
      <c r="AB11" s="33"/>
      <c r="AC11" s="35"/>
      <c r="AD11" s="33"/>
      <c r="AE11" s="35"/>
      <c r="AF11" s="33"/>
      <c r="AG11" s="35"/>
      <c r="AH11" s="33"/>
      <c r="AI11" s="35"/>
      <c r="AJ11" s="33"/>
      <c r="AK11" s="35"/>
      <c r="AL11" s="33"/>
      <c r="AM11" s="35"/>
      <c r="AN11" s="33"/>
      <c r="AO11" s="47"/>
      <c r="AP11" s="33"/>
      <c r="AQ11" s="9">
        <v>45992</v>
      </c>
      <c r="AR11" s="9">
        <f t="shared" si="0"/>
        <v>46081</v>
      </c>
      <c r="AS11" s="10">
        <v>90</v>
      </c>
      <c r="AT11" s="6" t="str">
        <f>"Intergrated Testing"</f>
        <v>Intergrated Testing</v>
      </c>
    </row>
    <row r="12" spans="1:46" x14ac:dyDescent="0.3">
      <c r="B12" s="48"/>
      <c r="C12" s="35"/>
      <c r="D12" s="33"/>
      <c r="E12" s="35"/>
      <c r="F12" s="33"/>
      <c r="G12" s="35"/>
      <c r="H12" s="33"/>
      <c r="I12" s="35"/>
      <c r="J12" s="33"/>
      <c r="K12" s="35"/>
      <c r="L12" s="33"/>
      <c r="M12" s="35"/>
      <c r="N12" s="33"/>
      <c r="O12" s="35"/>
      <c r="P12" s="33"/>
      <c r="Q12" s="35"/>
      <c r="R12" s="33"/>
      <c r="S12" s="35"/>
      <c r="T12" s="33"/>
      <c r="U12" s="35"/>
      <c r="V12" s="33"/>
      <c r="W12" s="35"/>
      <c r="X12" s="33"/>
      <c r="Y12" s="35"/>
      <c r="Z12" s="33"/>
      <c r="AA12" s="35"/>
      <c r="AB12" s="33"/>
      <c r="AC12" s="35"/>
      <c r="AD12" s="33"/>
      <c r="AE12" s="35"/>
      <c r="AF12" s="33"/>
      <c r="AG12" s="35"/>
      <c r="AH12" s="33"/>
      <c r="AI12" s="35"/>
      <c r="AJ12" s="33"/>
      <c r="AK12" s="35"/>
      <c r="AL12" s="33"/>
      <c r="AM12" s="35"/>
      <c r="AN12" s="33"/>
      <c r="AO12" s="47"/>
      <c r="AP12" s="33"/>
      <c r="AQ12" s="9">
        <v>46023</v>
      </c>
      <c r="AR12" s="9">
        <f t="shared" si="0"/>
        <v>46172</v>
      </c>
      <c r="AS12" s="10">
        <v>150</v>
      </c>
      <c r="AT12" s="6" t="str">
        <f>"Hardware"</f>
        <v>Hardware</v>
      </c>
    </row>
    <row r="13" spans="1:46" x14ac:dyDescent="0.3">
      <c r="B13" s="48"/>
      <c r="C13" s="35"/>
      <c r="D13" s="33"/>
      <c r="E13" s="35"/>
      <c r="F13" s="33"/>
      <c r="G13" s="35"/>
      <c r="H13" s="33"/>
      <c r="I13" s="35"/>
      <c r="J13" s="33"/>
      <c r="K13" s="35"/>
      <c r="L13" s="33"/>
      <c r="M13" s="35"/>
      <c r="N13" s="33"/>
      <c r="O13" s="35"/>
      <c r="P13" s="33"/>
      <c r="Q13" s="35"/>
      <c r="R13" s="33"/>
      <c r="S13" s="35"/>
      <c r="T13" s="33"/>
      <c r="U13" s="35"/>
      <c r="V13" s="145" t="s">
        <v>56</v>
      </c>
      <c r="W13" s="146"/>
      <c r="X13" s="33"/>
      <c r="Y13" s="35"/>
      <c r="Z13" s="33"/>
      <c r="AA13" s="35"/>
      <c r="AB13" s="33"/>
      <c r="AC13" s="35"/>
      <c r="AD13" s="33"/>
      <c r="AE13" s="35"/>
      <c r="AF13" s="33"/>
      <c r="AG13" s="35"/>
      <c r="AH13" s="33"/>
      <c r="AI13" s="35"/>
      <c r="AJ13" s="33"/>
      <c r="AK13" s="35"/>
      <c r="AL13" s="33"/>
      <c r="AM13" s="35"/>
      <c r="AN13" s="33"/>
      <c r="AO13" s="47"/>
      <c r="AP13" s="33"/>
      <c r="AQ13" s="9">
        <v>46113</v>
      </c>
      <c r="AR13" s="9">
        <f t="shared" si="0"/>
        <v>46157</v>
      </c>
      <c r="AS13" s="10">
        <v>45</v>
      </c>
      <c r="AT13" s="6" t="str">
        <f>"Training"</f>
        <v>Training</v>
      </c>
    </row>
    <row r="14" spans="1:46" x14ac:dyDescent="0.3">
      <c r="B14" s="48"/>
      <c r="C14" s="35"/>
      <c r="D14" s="33"/>
      <c r="E14" s="35"/>
      <c r="F14" s="33"/>
      <c r="G14" s="35"/>
      <c r="H14" s="33"/>
      <c r="I14" s="35"/>
      <c r="J14" s="33"/>
      <c r="K14" s="35"/>
      <c r="L14" s="33"/>
      <c r="M14" s="35"/>
      <c r="N14" s="33"/>
      <c r="O14" s="35"/>
      <c r="P14" s="33"/>
      <c r="Q14" s="35"/>
      <c r="R14" s="33"/>
      <c r="S14" s="35"/>
      <c r="T14" s="33"/>
      <c r="U14" s="35"/>
      <c r="V14" s="33"/>
      <c r="W14" s="35"/>
      <c r="X14" s="33"/>
      <c r="Y14" s="35"/>
      <c r="Z14" s="33"/>
      <c r="AA14" s="35"/>
      <c r="AB14" s="33"/>
      <c r="AC14" s="35"/>
      <c r="AD14" s="33"/>
      <c r="AE14" s="35"/>
      <c r="AF14" s="33"/>
      <c r="AG14" s="35"/>
      <c r="AH14" s="33"/>
      <c r="AI14" s="35"/>
      <c r="AJ14" s="33"/>
      <c r="AK14" s="35"/>
      <c r="AL14" s="33"/>
      <c r="AM14" s="35"/>
      <c r="AN14" s="33"/>
      <c r="AO14" s="47"/>
      <c r="AP14" s="33"/>
      <c r="AQ14" s="9">
        <v>46143</v>
      </c>
      <c r="AR14" s="9">
        <f t="shared" si="0"/>
        <v>46157</v>
      </c>
      <c r="AS14" s="10">
        <v>15</v>
      </c>
      <c r="AT14" s="6" t="s">
        <v>69</v>
      </c>
    </row>
    <row r="15" spans="1:46" x14ac:dyDescent="0.3">
      <c r="B15" s="48"/>
      <c r="C15" s="35"/>
      <c r="D15" s="33"/>
      <c r="E15" s="35"/>
      <c r="F15" s="33"/>
      <c r="G15" s="35"/>
      <c r="H15" s="33"/>
      <c r="I15" s="35"/>
      <c r="J15" s="33"/>
      <c r="K15" s="35"/>
      <c r="L15" s="33"/>
      <c r="M15" s="35"/>
      <c r="N15" s="33"/>
      <c r="O15" s="35"/>
      <c r="P15" s="33"/>
      <c r="Q15" s="35"/>
      <c r="R15" s="33"/>
      <c r="S15" s="35"/>
      <c r="T15" s="33"/>
      <c r="U15" s="35"/>
      <c r="V15" s="33"/>
      <c r="W15" s="54" t="s">
        <v>57</v>
      </c>
      <c r="X15" s="54"/>
      <c r="Y15" s="41"/>
      <c r="Z15" s="41"/>
      <c r="AA15" s="35"/>
      <c r="AB15" s="33"/>
      <c r="AC15" s="35"/>
      <c r="AD15" s="33"/>
      <c r="AE15" s="35"/>
      <c r="AF15" s="33"/>
      <c r="AG15" s="35"/>
      <c r="AH15" s="33"/>
      <c r="AI15" s="35"/>
      <c r="AJ15" s="33"/>
      <c r="AK15" s="35"/>
      <c r="AL15" s="33"/>
      <c r="AM15" s="35"/>
      <c r="AN15" s="33"/>
      <c r="AO15" s="47"/>
      <c r="AP15" s="33"/>
      <c r="AQ15" s="9">
        <v>46185</v>
      </c>
      <c r="AR15" s="9">
        <f t="shared" si="0"/>
        <v>46185</v>
      </c>
      <c r="AS15" s="10">
        <v>1</v>
      </c>
      <c r="AT15" s="6" t="str">
        <f>"Cut Over"</f>
        <v>Cut Over</v>
      </c>
    </row>
    <row r="16" spans="1:46" x14ac:dyDescent="0.3">
      <c r="B16" s="48"/>
      <c r="C16" s="35"/>
      <c r="D16" s="33"/>
      <c r="E16" s="35"/>
      <c r="F16" s="33"/>
      <c r="G16" s="35"/>
      <c r="H16" s="33"/>
      <c r="I16" s="35"/>
      <c r="J16" s="33"/>
      <c r="K16" s="35"/>
      <c r="L16" s="33"/>
      <c r="M16" s="35"/>
      <c r="N16" s="33"/>
      <c r="O16" s="35"/>
      <c r="P16" s="33"/>
      <c r="Q16" s="35"/>
      <c r="R16" s="33"/>
      <c r="S16" s="35"/>
      <c r="T16" s="33"/>
      <c r="U16" s="35"/>
      <c r="V16" s="33"/>
      <c r="W16" s="35"/>
      <c r="X16" s="33"/>
      <c r="Y16" s="35"/>
      <c r="Z16" s="33"/>
      <c r="AA16" s="35"/>
      <c r="AB16" s="33"/>
      <c r="AC16" s="35"/>
      <c r="AD16" s="33"/>
      <c r="AE16" s="35"/>
      <c r="AF16" s="33"/>
      <c r="AG16" s="35"/>
      <c r="AH16" s="33"/>
      <c r="AI16" s="35"/>
      <c r="AJ16" s="33"/>
      <c r="AK16" s="35"/>
      <c r="AL16" s="33"/>
      <c r="AM16" s="35"/>
      <c r="AN16" s="33"/>
      <c r="AO16" s="47"/>
      <c r="AP16" s="33"/>
      <c r="AQ16" s="9">
        <v>46204</v>
      </c>
      <c r="AR16" s="9">
        <f t="shared" si="0"/>
        <v>46204</v>
      </c>
      <c r="AS16" s="10">
        <v>1</v>
      </c>
      <c r="AT16" s="6" t="str">
        <f>"Go-Live"</f>
        <v>Go-Live</v>
      </c>
    </row>
    <row r="17" spans="1:46" x14ac:dyDescent="0.3">
      <c r="B17" s="48"/>
      <c r="C17" s="35"/>
      <c r="D17" s="33"/>
      <c r="E17" s="35"/>
      <c r="F17" s="33"/>
      <c r="G17" s="35"/>
      <c r="H17" s="33"/>
      <c r="I17" s="35"/>
      <c r="J17" s="33"/>
      <c r="K17" s="35"/>
      <c r="L17" s="33"/>
      <c r="M17" s="35"/>
      <c r="N17" s="33"/>
      <c r="O17" s="35"/>
      <c r="P17" s="33"/>
      <c r="Q17" s="35"/>
      <c r="R17" s="33"/>
      <c r="S17" s="35"/>
      <c r="T17" s="33"/>
      <c r="U17" s="35"/>
      <c r="V17" s="33"/>
      <c r="W17" s="35"/>
      <c r="X17" s="33"/>
      <c r="Y17" s="35"/>
      <c r="Z17" s="33"/>
      <c r="AA17" s="147" t="s">
        <v>59</v>
      </c>
      <c r="AB17" s="147"/>
      <c r="AC17" s="147"/>
      <c r="AD17" s="147"/>
      <c r="AE17" s="147"/>
      <c r="AF17" s="147"/>
      <c r="AG17" s="147"/>
      <c r="AH17" s="147"/>
      <c r="AI17" s="35"/>
      <c r="AJ17" s="33"/>
      <c r="AK17" s="35"/>
      <c r="AL17" s="33"/>
      <c r="AM17" s="35"/>
      <c r="AN17" s="33"/>
      <c r="AO17" s="47"/>
      <c r="AP17" s="33"/>
      <c r="AQ17" s="9">
        <v>46235</v>
      </c>
      <c r="AR17" s="9">
        <f t="shared" si="0"/>
        <v>46235</v>
      </c>
      <c r="AS17" s="10">
        <v>1</v>
      </c>
      <c r="AT17" s="6" t="str">
        <f>"Support"</f>
        <v>Support</v>
      </c>
    </row>
    <row r="18" spans="1:46" x14ac:dyDescent="0.3">
      <c r="B18" s="48"/>
      <c r="C18" s="35"/>
      <c r="D18" s="33"/>
      <c r="E18" s="35"/>
      <c r="F18" s="33"/>
      <c r="G18" s="35"/>
      <c r="H18" s="33"/>
      <c r="I18" s="35"/>
      <c r="J18" s="33"/>
      <c r="K18" s="35"/>
      <c r="L18" s="33"/>
      <c r="M18" s="35"/>
      <c r="N18" s="33"/>
      <c r="O18" s="35"/>
      <c r="P18" s="33"/>
      <c r="Q18" s="35"/>
      <c r="R18" s="33"/>
      <c r="S18" s="35"/>
      <c r="T18" s="33"/>
      <c r="U18" s="35"/>
      <c r="V18" s="33"/>
      <c r="W18" s="35"/>
      <c r="X18" s="33"/>
      <c r="Y18" s="35"/>
      <c r="Z18" s="33"/>
      <c r="AA18" s="35"/>
      <c r="AB18" s="33"/>
      <c r="AC18" s="35"/>
      <c r="AD18" s="33"/>
      <c r="AE18" s="35"/>
      <c r="AF18" s="33"/>
      <c r="AG18" s="35"/>
      <c r="AH18" s="33"/>
      <c r="AI18" s="35"/>
      <c r="AJ18" s="33"/>
      <c r="AK18" s="35"/>
      <c r="AL18" s="33"/>
      <c r="AM18" s="35"/>
      <c r="AN18" s="33"/>
      <c r="AO18" s="47"/>
      <c r="AP18" s="33"/>
    </row>
    <row r="19" spans="1:46" x14ac:dyDescent="0.3">
      <c r="B19" s="48"/>
      <c r="C19" s="35"/>
      <c r="D19" s="33"/>
      <c r="E19" s="35"/>
      <c r="F19" s="33"/>
      <c r="G19" s="35"/>
      <c r="H19" s="33"/>
      <c r="I19" s="35"/>
      <c r="J19" s="33"/>
      <c r="K19" s="35"/>
      <c r="L19" s="33"/>
      <c r="M19" s="35"/>
      <c r="N19" s="33"/>
      <c r="O19" s="35"/>
      <c r="P19" s="33"/>
      <c r="Q19" s="35"/>
      <c r="R19" s="33"/>
      <c r="S19" s="35"/>
      <c r="T19" s="33"/>
      <c r="U19" s="35"/>
      <c r="V19" s="33"/>
      <c r="W19" s="35"/>
      <c r="X19" s="33"/>
      <c r="Y19" s="35"/>
      <c r="Z19" s="33"/>
      <c r="AA19" s="35"/>
      <c r="AB19" s="33"/>
      <c r="AC19" s="35"/>
      <c r="AD19" s="33"/>
      <c r="AE19" s="35"/>
      <c r="AF19" s="33"/>
      <c r="AG19" s="148" t="s">
        <v>60</v>
      </c>
      <c r="AH19" s="148"/>
      <c r="AI19" s="146"/>
      <c r="AJ19" s="33"/>
      <c r="AK19" s="35"/>
      <c r="AL19" s="33"/>
      <c r="AM19" s="35"/>
      <c r="AN19" s="33"/>
      <c r="AO19" s="47"/>
      <c r="AP19" s="33"/>
    </row>
    <row r="20" spans="1:46" x14ac:dyDescent="0.3">
      <c r="B20" s="48"/>
      <c r="C20" s="35"/>
      <c r="D20" s="33"/>
      <c r="E20" s="35"/>
      <c r="F20" s="33"/>
      <c r="G20" s="35"/>
      <c r="H20" s="33"/>
      <c r="I20" s="35"/>
      <c r="J20" s="33"/>
      <c r="K20" s="35"/>
      <c r="L20" s="33"/>
      <c r="M20" s="35"/>
      <c r="N20" s="33"/>
      <c r="O20" s="35"/>
      <c r="P20" s="33"/>
      <c r="Q20" s="35"/>
      <c r="R20" s="33"/>
      <c r="S20" s="35"/>
      <c r="T20" s="33"/>
      <c r="U20" s="35"/>
      <c r="V20" s="33"/>
      <c r="W20" s="35"/>
      <c r="X20" s="33"/>
      <c r="Y20" s="35"/>
      <c r="Z20" s="33"/>
      <c r="AA20" s="35"/>
      <c r="AB20" s="33"/>
      <c r="AC20" s="35"/>
      <c r="AD20" s="33"/>
      <c r="AE20" s="35"/>
      <c r="AF20" s="33"/>
      <c r="AG20" s="35"/>
      <c r="AH20" s="33"/>
      <c r="AI20" s="35"/>
      <c r="AJ20" s="33"/>
      <c r="AK20" s="35"/>
      <c r="AL20" s="33"/>
      <c r="AM20" s="35"/>
      <c r="AN20" s="33"/>
      <c r="AO20" s="47"/>
      <c r="AP20" s="33"/>
    </row>
    <row r="21" spans="1:46" x14ac:dyDescent="0.3">
      <c r="B21" s="48"/>
      <c r="C21" s="35"/>
      <c r="D21" s="33"/>
      <c r="E21" s="35"/>
      <c r="F21" s="33"/>
      <c r="G21" s="35"/>
      <c r="H21" s="33"/>
      <c r="I21" s="35"/>
      <c r="J21" s="33"/>
      <c r="K21" s="35"/>
      <c r="L21" s="33"/>
      <c r="M21" s="35"/>
      <c r="N21" s="33"/>
      <c r="O21" s="35"/>
      <c r="P21" s="33"/>
      <c r="Q21" s="35"/>
      <c r="R21" s="33"/>
      <c r="S21" s="35"/>
      <c r="T21" s="33"/>
      <c r="U21" s="35"/>
      <c r="V21" s="33"/>
      <c r="W21" s="35"/>
      <c r="X21" s="33"/>
      <c r="Y21" s="35"/>
      <c r="Z21" s="33"/>
      <c r="AA21" s="35"/>
      <c r="AB21" s="33"/>
      <c r="AC21" s="35"/>
      <c r="AD21" s="33"/>
      <c r="AE21" s="35"/>
      <c r="AF21" s="33"/>
      <c r="AG21" s="35"/>
      <c r="AH21" s="55" t="s">
        <v>69</v>
      </c>
      <c r="AI21" s="39"/>
      <c r="AJ21" s="33"/>
      <c r="AK21" s="35"/>
      <c r="AL21" s="33"/>
      <c r="AM21" s="35"/>
      <c r="AN21" s="33"/>
      <c r="AO21" s="47"/>
      <c r="AP21" s="33"/>
      <c r="AQ21" t="s">
        <v>68</v>
      </c>
    </row>
    <row r="22" spans="1:46" x14ac:dyDescent="0.3">
      <c r="B22" s="48"/>
      <c r="C22" s="35"/>
      <c r="D22" s="33"/>
      <c r="E22" s="35"/>
      <c r="F22" s="33"/>
      <c r="G22" s="35"/>
      <c r="H22" s="33"/>
      <c r="I22" s="35"/>
      <c r="J22" s="33"/>
      <c r="K22" s="35"/>
      <c r="L22" s="33"/>
      <c r="M22" s="35"/>
      <c r="N22" s="33"/>
      <c r="O22" s="35"/>
      <c r="P22" s="33"/>
      <c r="Q22" s="35"/>
      <c r="R22" s="33"/>
      <c r="S22" s="35"/>
      <c r="T22" s="33"/>
      <c r="U22" s="35"/>
      <c r="V22" s="33"/>
      <c r="W22" s="35"/>
      <c r="X22" s="33"/>
      <c r="Y22" s="35"/>
      <c r="Z22" s="33"/>
      <c r="AA22" s="35"/>
      <c r="AB22" s="33"/>
      <c r="AC22" s="35"/>
      <c r="AD22" s="33"/>
      <c r="AE22" s="35"/>
      <c r="AF22" s="33"/>
      <c r="AG22" s="35"/>
      <c r="AH22" s="33"/>
      <c r="AI22" s="35"/>
      <c r="AJ22" s="56" t="s">
        <v>61</v>
      </c>
      <c r="AK22" s="35"/>
      <c r="AL22" s="33"/>
      <c r="AM22" s="35"/>
      <c r="AN22" s="33"/>
      <c r="AO22" s="47"/>
      <c r="AP22" s="33"/>
    </row>
    <row r="23" spans="1:46" x14ac:dyDescent="0.3">
      <c r="B23" s="48"/>
      <c r="C23" s="35"/>
      <c r="D23" s="33"/>
      <c r="E23" s="35"/>
      <c r="F23" s="33"/>
      <c r="G23" s="35"/>
      <c r="H23" s="33"/>
      <c r="I23" s="35"/>
      <c r="J23" s="33"/>
      <c r="K23" s="35"/>
      <c r="L23" s="33"/>
      <c r="M23" s="35"/>
      <c r="N23" s="33"/>
      <c r="O23" s="35"/>
      <c r="P23" s="33"/>
      <c r="Q23" s="35"/>
      <c r="R23" s="33"/>
      <c r="S23" s="35"/>
      <c r="T23" s="33"/>
      <c r="U23" s="35"/>
      <c r="V23" s="33"/>
      <c r="W23" s="35"/>
      <c r="X23" s="33"/>
      <c r="Y23" s="35"/>
      <c r="Z23" s="33"/>
      <c r="AA23" s="35"/>
      <c r="AB23" s="33"/>
      <c r="AC23" s="35"/>
      <c r="AD23" s="33"/>
      <c r="AE23" s="35"/>
      <c r="AF23" s="33"/>
      <c r="AG23" s="35"/>
      <c r="AH23" s="33"/>
      <c r="AI23" s="35"/>
      <c r="AJ23" s="34"/>
      <c r="AK23" s="134" t="s">
        <v>67</v>
      </c>
      <c r="AL23" s="134"/>
      <c r="AM23" s="134"/>
      <c r="AN23" s="135"/>
      <c r="AO23" s="47"/>
      <c r="AP23" s="33"/>
    </row>
    <row r="24" spans="1:46" ht="15" thickBot="1" x14ac:dyDescent="0.35">
      <c r="B24" s="49"/>
      <c r="C24" s="50"/>
      <c r="D24" s="51"/>
      <c r="E24" s="50"/>
      <c r="F24" s="51"/>
      <c r="G24" s="50"/>
      <c r="H24" s="51"/>
      <c r="I24" s="50"/>
      <c r="J24" s="51"/>
      <c r="K24" s="50"/>
      <c r="L24" s="51"/>
      <c r="M24" s="50"/>
      <c r="N24" s="51"/>
      <c r="O24" s="50"/>
      <c r="P24" s="51"/>
      <c r="Q24" s="50"/>
      <c r="R24" s="51"/>
      <c r="S24" s="50"/>
      <c r="T24" s="51"/>
      <c r="U24" s="50"/>
      <c r="V24" s="51"/>
      <c r="W24" s="50"/>
      <c r="X24" s="51"/>
      <c r="Y24" s="50"/>
      <c r="Z24" s="51"/>
      <c r="AA24" s="50"/>
      <c r="AB24" s="51"/>
      <c r="AC24" s="50"/>
      <c r="AD24" s="51"/>
      <c r="AE24" s="50"/>
      <c r="AF24" s="51"/>
      <c r="AG24" s="50"/>
      <c r="AH24" s="51"/>
      <c r="AI24" s="50"/>
      <c r="AJ24" s="51"/>
      <c r="AK24" s="51"/>
      <c r="AL24" s="137" t="s">
        <v>62</v>
      </c>
      <c r="AM24" s="137"/>
      <c r="AN24" s="137"/>
      <c r="AO24" s="138"/>
      <c r="AP24" s="33"/>
    </row>
    <row r="25" spans="1:46" x14ac:dyDescent="0.3">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row>
    <row r="26" spans="1:46" x14ac:dyDescent="0.3">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row>
    <row r="27" spans="1:46" x14ac:dyDescent="0.3">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row>
    <row r="28" spans="1:46" x14ac:dyDescent="0.3">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row>
    <row r="29" spans="1:46" x14ac:dyDescent="0.3">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row>
    <row r="30" spans="1:46" x14ac:dyDescent="0.3">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row>
    <row r="31" spans="1:46" x14ac:dyDescent="0.3">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row>
    <row r="32" spans="1:46" x14ac:dyDescent="0.3">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row>
    <row r="33" spans="1:41" x14ac:dyDescent="0.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row>
    <row r="34" spans="1:41" x14ac:dyDescent="0.3">
      <c r="G34" s="33"/>
      <c r="H34" s="33"/>
      <c r="I34" s="33"/>
      <c r="J34" s="33"/>
      <c r="K34" s="33"/>
      <c r="L34" s="33"/>
      <c r="M34" s="33"/>
      <c r="N34" s="33"/>
      <c r="O34" s="33"/>
      <c r="P34" s="33"/>
      <c r="Q34" s="33"/>
      <c r="R34" s="33"/>
      <c r="S34" s="33"/>
      <c r="T34" s="33"/>
      <c r="U34" s="33"/>
      <c r="V34" s="33"/>
      <c r="W34" s="33"/>
      <c r="X34" s="33"/>
      <c r="Y34" s="33"/>
      <c r="Z34" s="33"/>
      <c r="AA34" s="35"/>
    </row>
  </sheetData>
  <mergeCells count="30">
    <mergeCell ref="Z2:AA2"/>
    <mergeCell ref="B3:I3"/>
    <mergeCell ref="N2:O2"/>
    <mergeCell ref="P2:Q2"/>
    <mergeCell ref="R2:S2"/>
    <mergeCell ref="T2:U2"/>
    <mergeCell ref="V2:W2"/>
    <mergeCell ref="X2:Y2"/>
    <mergeCell ref="B2:C2"/>
    <mergeCell ref="D2:E2"/>
    <mergeCell ref="F2:G2"/>
    <mergeCell ref="H2:I2"/>
    <mergeCell ref="J2:K2"/>
    <mergeCell ref="L2:M2"/>
    <mergeCell ref="AK23:AN23"/>
    <mergeCell ref="AL24:AO24"/>
    <mergeCell ref="N1:R1"/>
    <mergeCell ref="V1:Z1"/>
    <mergeCell ref="AN2:AO2"/>
    <mergeCell ref="AA17:AH17"/>
    <mergeCell ref="AG19:AI19"/>
    <mergeCell ref="AB2:AC2"/>
    <mergeCell ref="AD2:AE2"/>
    <mergeCell ref="AF2:AG2"/>
    <mergeCell ref="AH2:AI2"/>
    <mergeCell ref="AJ2:AK2"/>
    <mergeCell ref="AL2:AM2"/>
    <mergeCell ref="P11:V11"/>
    <mergeCell ref="V13:W13"/>
    <mergeCell ref="L9:Q9"/>
  </mergeCells>
  <phoneticPr fontId="2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80519-321A-4FAC-B83B-B41E0D6C8EC3}">
  <dimension ref="A1"/>
  <sheetViews>
    <sheetView workbookViewId="0">
      <selection activeCell="H22" sqref="H22"/>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50AF1-A16A-4CAD-ACE4-6B1EB01C3661}">
  <dimension ref="A1:F14"/>
  <sheetViews>
    <sheetView workbookViewId="0">
      <selection sqref="A1:F14"/>
    </sheetView>
  </sheetViews>
  <sheetFormatPr defaultRowHeight="14.4" x14ac:dyDescent="0.3"/>
  <sheetData>
    <row r="1" spans="1:6" x14ac:dyDescent="0.3">
      <c r="A1" s="9">
        <v>45762</v>
      </c>
      <c r="B1" s="9">
        <f t="shared" ref="B1:B14" si="0">A1+C1-1</f>
        <v>45776</v>
      </c>
      <c r="C1" s="10">
        <v>15</v>
      </c>
      <c r="D1" s="6" t="str">
        <f>"Onboard Resources"&amp;CHAR(10)&amp;TEXT(A1,"mmm d")&amp;" - "&amp;TEXT(B1,"mmm d")</f>
        <v>Onboard Resources
Apr 15 - Apr 29</v>
      </c>
      <c r="E1" s="10">
        <v>45</v>
      </c>
      <c r="F1" s="10" t="e">
        <f>E1-#REF!</f>
        <v>#REF!</v>
      </c>
    </row>
    <row r="2" spans="1:6" x14ac:dyDescent="0.3">
      <c r="A2" s="9">
        <v>45778</v>
      </c>
      <c r="B2" s="9">
        <f t="shared" si="0"/>
        <v>45782</v>
      </c>
      <c r="C2" s="10">
        <v>5</v>
      </c>
      <c r="D2" s="6" t="str">
        <f>"Project Kickoff"&amp;CHAR(10)&amp;TEXT(A2,"mmm d")&amp;" - "&amp;TEXT(B2,"mmm d")</f>
        <v>Project Kickoff
May 1 - May 5</v>
      </c>
      <c r="E2" s="10">
        <v>40</v>
      </c>
      <c r="F2" s="10">
        <f>E2-E1</f>
        <v>-5</v>
      </c>
    </row>
    <row r="3" spans="1:6" x14ac:dyDescent="0.3">
      <c r="A3" s="9">
        <v>45778</v>
      </c>
      <c r="B3" s="9">
        <f t="shared" si="0"/>
        <v>45822</v>
      </c>
      <c r="C3" s="10">
        <v>45</v>
      </c>
      <c r="D3" s="6" t="str">
        <f>"Assessment"&amp;CHAR(10)&amp;TEXT(A3,"mmm d")&amp;" - "&amp;TEXT(B3,"mmm d")</f>
        <v>Assessment
May 1 - Jun 14</v>
      </c>
      <c r="E3" s="10">
        <v>35</v>
      </c>
      <c r="F3" s="10">
        <f>E3</f>
        <v>35</v>
      </c>
    </row>
    <row r="4" spans="1:6" x14ac:dyDescent="0.3">
      <c r="A4" s="9">
        <v>45809</v>
      </c>
      <c r="B4" s="9">
        <f t="shared" si="0"/>
        <v>45898</v>
      </c>
      <c r="C4" s="10">
        <v>90</v>
      </c>
      <c r="D4" s="6" t="str">
        <f>"Discovery"&amp;CHAR(10)&amp;TEXT(A4,"mmm d")&amp;" - "&amp;TEXT(B4,"mmm d")</f>
        <v>Discovery
Jun 1 - Aug 29</v>
      </c>
      <c r="E4" s="10">
        <v>30</v>
      </c>
      <c r="F4" s="10">
        <f>E4</f>
        <v>30</v>
      </c>
    </row>
    <row r="5" spans="1:6" x14ac:dyDescent="0.3">
      <c r="A5" s="9">
        <v>45870</v>
      </c>
      <c r="B5" s="9">
        <f t="shared" si="0"/>
        <v>45974</v>
      </c>
      <c r="C5" s="10">
        <v>105</v>
      </c>
      <c r="D5" s="6" t="str">
        <f>"Design &amp; Build"&amp;CHAR(10)&amp;TEXT(A5,"mmm d")&amp;" - "&amp;TEXT(B5,"mmm d")</f>
        <v>Design &amp; Build
Aug 1 - Nov 13</v>
      </c>
      <c r="E5" s="10">
        <v>25</v>
      </c>
      <c r="F5" s="10">
        <f>E5-E4</f>
        <v>-5</v>
      </c>
    </row>
    <row r="6" spans="1:6" x14ac:dyDescent="0.3">
      <c r="A6" s="9">
        <v>45962</v>
      </c>
      <c r="B6" s="9">
        <f t="shared" si="0"/>
        <v>45991</v>
      </c>
      <c r="C6" s="10">
        <v>30</v>
      </c>
      <c r="D6" s="6" t="str">
        <f>"EUAT"&amp;CHAR(10)&amp;TEXT(A6,"mmm d")&amp;" - "&amp;TEXT(B6,"mmm d")</f>
        <v>EUAT
Nov 1 - Nov 30</v>
      </c>
      <c r="E6" s="10">
        <v>20</v>
      </c>
      <c r="F6" s="10">
        <f>E6</f>
        <v>20</v>
      </c>
    </row>
    <row r="7" spans="1:6" x14ac:dyDescent="0.3">
      <c r="A7" s="9">
        <v>45992</v>
      </c>
      <c r="B7" s="9">
        <f t="shared" si="0"/>
        <v>46081</v>
      </c>
      <c r="C7" s="10">
        <v>90</v>
      </c>
      <c r="D7" s="6" t="str">
        <f>"Intergrated Testing"&amp;CHAR(10)&amp;TEXT(A7,"mmm d")&amp;" - "&amp;TEXT(B7,"mmm d")</f>
        <v>Intergrated Testing
Dec 1 - Feb 28</v>
      </c>
      <c r="E7" s="10">
        <v>15</v>
      </c>
      <c r="F7" s="10">
        <f>E7-E6</f>
        <v>-5</v>
      </c>
    </row>
    <row r="8" spans="1:6" x14ac:dyDescent="0.3">
      <c r="A8" s="9">
        <v>46023</v>
      </c>
      <c r="B8" s="9">
        <f t="shared" si="0"/>
        <v>46172</v>
      </c>
      <c r="C8" s="10">
        <v>150</v>
      </c>
      <c r="D8" s="6" t="str">
        <f>"Hardware"&amp;CHAR(10)&amp;TEXT(A8,"mmm d")&amp;" - "&amp;TEXT(B8,"mmm d")</f>
        <v>Hardware
Jan 1 - May 30</v>
      </c>
      <c r="E8" s="10">
        <v>10</v>
      </c>
      <c r="F8" s="10">
        <f>E8-E7</f>
        <v>-5</v>
      </c>
    </row>
    <row r="9" spans="1:6" x14ac:dyDescent="0.3">
      <c r="A9" s="9">
        <v>46113</v>
      </c>
      <c r="B9" s="9">
        <f t="shared" si="0"/>
        <v>46157</v>
      </c>
      <c r="C9" s="10">
        <v>45</v>
      </c>
      <c r="D9" s="6" t="str">
        <f>"Training"&amp;CHAR(10)&amp;TEXT(A9,"mmm d")&amp;" - "&amp;TEXT(B9,"mmm d")</f>
        <v>Training
Apr 1 - May 15</v>
      </c>
      <c r="E9" s="10">
        <f t="shared" ref="E9" si="1">E8-15</f>
        <v>-5</v>
      </c>
      <c r="F9" s="10">
        <f t="shared" ref="F9:F14" si="2">E9-E8</f>
        <v>-15</v>
      </c>
    </row>
    <row r="10" spans="1:6" x14ac:dyDescent="0.3">
      <c r="A10" s="9">
        <v>46143</v>
      </c>
      <c r="B10" s="9">
        <f t="shared" si="0"/>
        <v>46172</v>
      </c>
      <c r="C10" s="10">
        <v>30</v>
      </c>
      <c r="D10" s="6" t="str">
        <f>"Dry Run"&amp;CHAR(10)&amp;TEXT(A10,"mmm d")&amp;" - "&amp;TEXT(B10,"mmm d")</f>
        <v>Dry Run
May 1 - May 30</v>
      </c>
      <c r="E10" s="10">
        <v>-10</v>
      </c>
      <c r="F10" s="10">
        <f t="shared" si="2"/>
        <v>-5</v>
      </c>
    </row>
    <row r="11" spans="1:6" x14ac:dyDescent="0.3">
      <c r="A11" s="9">
        <v>46143</v>
      </c>
      <c r="B11" s="9">
        <f t="shared" si="0"/>
        <v>46143</v>
      </c>
      <c r="C11" s="10">
        <v>1</v>
      </c>
      <c r="D11" s="6" t="str">
        <f>"Scheduleing Go-Live"&amp;CHAR(10)&amp;TEXT(A11,"mmm d")&amp;" - "&amp;TEXT(B11,"mmm d")</f>
        <v>Scheduleing Go-Live
May 1 - May 1</v>
      </c>
      <c r="E11" s="10">
        <v>-15</v>
      </c>
      <c r="F11" s="10">
        <f t="shared" si="2"/>
        <v>-5</v>
      </c>
    </row>
    <row r="12" spans="1:6" x14ac:dyDescent="0.3">
      <c r="A12" s="9">
        <v>46185</v>
      </c>
      <c r="B12" s="9">
        <f t="shared" si="0"/>
        <v>46185</v>
      </c>
      <c r="C12" s="10">
        <v>1</v>
      </c>
      <c r="D12" s="6" t="str">
        <f>"Cut Over"&amp;CHAR(10)&amp;TEXT(A12,"mmm d")&amp;" - "&amp;TEXT(B12,"mmm d")</f>
        <v>Cut Over
Jun 12 - Jun 12</v>
      </c>
      <c r="E12" s="10">
        <v>-20</v>
      </c>
      <c r="F12" s="10">
        <f t="shared" si="2"/>
        <v>-5</v>
      </c>
    </row>
    <row r="13" spans="1:6" x14ac:dyDescent="0.3">
      <c r="A13" s="9">
        <v>46204</v>
      </c>
      <c r="B13" s="9">
        <f t="shared" si="0"/>
        <v>46204</v>
      </c>
      <c r="C13" s="10">
        <v>1</v>
      </c>
      <c r="D13" s="6" t="str">
        <f>"Go-Live"&amp;CHAR(10)&amp;TEXT(A13,"mmm d")&amp;" - "&amp;TEXT(B13,"mmm d")</f>
        <v>Go-Live
Jul 1 - Jul 1</v>
      </c>
      <c r="E13" s="10">
        <v>-25</v>
      </c>
      <c r="F13" s="10">
        <f t="shared" si="2"/>
        <v>-5</v>
      </c>
    </row>
    <row r="14" spans="1:6" x14ac:dyDescent="0.3">
      <c r="A14" s="9">
        <v>46235</v>
      </c>
      <c r="B14" s="9">
        <f t="shared" si="0"/>
        <v>46235</v>
      </c>
      <c r="C14" s="10">
        <v>1</v>
      </c>
      <c r="D14" s="6" t="str">
        <f>"Support"&amp;CHAR(10)&amp;TEXT(A14,"mmm d")&amp;" - "&amp;TEXT(B14,"mmm d")</f>
        <v>Support
Aug 1 - Aug 1</v>
      </c>
      <c r="E14" s="10">
        <v>-30</v>
      </c>
      <c r="F14" s="10">
        <f t="shared" si="2"/>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28E46-4F8E-4CE9-86EA-5AE28B42ED2D}">
  <dimension ref="B1:C19"/>
  <sheetViews>
    <sheetView showGridLines="0" workbookViewId="0"/>
  </sheetViews>
  <sheetFormatPr defaultColWidth="9.109375" defaultRowHeight="13.8" x14ac:dyDescent="0.3"/>
  <cols>
    <col min="1" max="1" width="2.88671875" style="19" customWidth="1"/>
    <col min="2" max="2" width="86.6640625" style="18" customWidth="1"/>
    <col min="3" max="16384" width="9.109375" style="19"/>
  </cols>
  <sheetData>
    <row r="1" spans="2:3" ht="46.5" customHeight="1" x14ac:dyDescent="0.3"/>
    <row r="2" spans="2:3" s="21" customFormat="1" ht="15.6" x14ac:dyDescent="0.3">
      <c r="B2" s="20" t="s">
        <v>16</v>
      </c>
      <c r="C2" s="20"/>
    </row>
    <row r="3" spans="2:3" s="23" customFormat="1" ht="14.4" x14ac:dyDescent="0.3">
      <c r="B3" s="22" t="s">
        <v>20</v>
      </c>
      <c r="C3" s="22"/>
    </row>
    <row r="6" spans="2:3" ht="21" x14ac:dyDescent="0.3">
      <c r="B6" s="24" t="s">
        <v>11</v>
      </c>
    </row>
    <row r="7" spans="2:3" ht="57.6" x14ac:dyDescent="0.3">
      <c r="B7" s="25" t="s">
        <v>33</v>
      </c>
    </row>
    <row r="8" spans="2:3" ht="14.4" x14ac:dyDescent="0.3">
      <c r="B8" s="25"/>
    </row>
    <row r="9" spans="2:3" ht="28.8" x14ac:dyDescent="0.3">
      <c r="B9" s="25" t="s">
        <v>34</v>
      </c>
    </row>
    <row r="11" spans="2:3" s="26" customFormat="1" ht="25.8" x14ac:dyDescent="0.5">
      <c r="B11" s="24" t="s">
        <v>17</v>
      </c>
    </row>
    <row r="12" spans="2:3" ht="14.4" x14ac:dyDescent="0.3">
      <c r="B12" s="25" t="s">
        <v>19</v>
      </c>
    </row>
    <row r="13" spans="2:3" ht="18" x14ac:dyDescent="0.35">
      <c r="B13" s="27" t="s">
        <v>12</v>
      </c>
    </row>
    <row r="14" spans="2:3" ht="18" x14ac:dyDescent="0.35">
      <c r="B14" s="27" t="s">
        <v>18</v>
      </c>
    </row>
    <row r="16" spans="2:3" s="26" customFormat="1" ht="25.8" x14ac:dyDescent="0.5">
      <c r="B16" s="24" t="s">
        <v>13</v>
      </c>
    </row>
    <row r="17" spans="2:2" ht="57.6" x14ac:dyDescent="0.3">
      <c r="B17" s="25" t="s">
        <v>15</v>
      </c>
    </row>
    <row r="18" spans="2:2" ht="14.4" x14ac:dyDescent="0.3">
      <c r="B18" s="25"/>
    </row>
    <row r="19" spans="2:2" ht="72" x14ac:dyDescent="0.3">
      <c r="B19" s="25" t="s">
        <v>14</v>
      </c>
    </row>
  </sheetData>
  <hyperlinks>
    <hyperlink ref="B13" r:id="rId1" xr:uid="{B8947EC3-1C72-493B-A4FE-3C48F5A53842}"/>
    <hyperlink ref="B14" r:id="rId2" xr:uid="{DFD6A2CD-51CD-4C83-9B83-B25742004360}"/>
    <hyperlink ref="B2" r:id="rId3" xr:uid="{43D0A7D2-DABF-42AF-87ED-ECA12DBF526E}"/>
    <hyperlink ref="B3" r:id="rId4" xr:uid="{EFC32A66-072E-4930-A63A-F05546C72F1E}"/>
  </hyperlinks>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TM16410085</Templat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Timeline</vt:lpstr>
      <vt:lpstr>Project Plan</vt:lpstr>
      <vt:lpstr>Project TL</vt:lpstr>
      <vt:lpstr>Detailed Timeline</vt:lpstr>
      <vt:lpstr>Sheet5</vt:lpstr>
      <vt:lpstr>Sheet1</vt:lpstr>
      <vt:lpstr>About</vt:lpstr>
      <vt:lpstr>Timeline!Print_Area</vt:lpstr>
      <vt:lpstr>Timeline!Print_Titles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2021-10-12T17:49:37Z</dcterms:created>
  <dcterms:modified xsi:type="dcterms:W3CDTF">2024-11-08T18:31:26Z</dcterms:modified>
</cp:coreProperties>
</file>